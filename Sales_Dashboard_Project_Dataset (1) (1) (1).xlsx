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BFC7E0B2-B8DE-4086-82C6-AFCF2D922E8E}" xr6:coauthVersionLast="47" xr6:coauthVersionMax="47" xr10:uidLastSave="{00000000-0000-0000-0000-000000000000}"/>
  <bookViews>
    <workbookView xWindow="-108" yWindow="-108" windowWidth="23256" windowHeight="13896" firstSheet="7" activeTab="7" xr2:uid="{00000000-000D-0000-FFFF-FFFF00000000}"/>
  </bookViews>
  <sheets>
    <sheet name="Sales vs Region" sheetId="2" r:id="rId1"/>
    <sheet name="Sales vs Category" sheetId="4" r:id="rId2"/>
    <sheet name="Customer contributes" sheetId="5" r:id="rId3"/>
    <sheet name="Retail vs Corporate" sheetId="6" r:id="rId4"/>
    <sheet name="HIGHEST MONTH SALES" sheetId="8" r:id="rId5"/>
    <sheet name="PROFITABLE BUSINESS" sheetId="10" r:id="rId6"/>
    <sheet name="SalesData" sheetId="1" r:id="rId7"/>
    <sheet name="DASHBOARD" sheetId="12" r:id="rId8"/>
  </sheets>
  <definedNames>
    <definedName name="_xlnm._FilterDatabase" localSheetId="6" hidden="1">SalesData!$A$1:$P$1001</definedName>
  </definedNames>
  <calcPr calcId="191028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<sst xmlns="http://schemas.openxmlformats.org/spreadsheetml/2006/main" count="10082" uniqueCount="1537">
  <si>
    <t>Region</t>
  </si>
  <si>
    <t>Sum of Sales</t>
  </si>
  <si>
    <t>West</t>
  </si>
  <si>
    <t>North</t>
  </si>
  <si>
    <t>South</t>
  </si>
  <si>
    <t>East</t>
  </si>
  <si>
    <t>Grand Total</t>
  </si>
  <si>
    <t>Row Labels</t>
  </si>
  <si>
    <t>Office Supplies</t>
  </si>
  <si>
    <t>Electronics</t>
  </si>
  <si>
    <t>Furniture</t>
  </si>
  <si>
    <t>Sum of Profit</t>
  </si>
  <si>
    <t>Meena</t>
  </si>
  <si>
    <t>Arun</t>
  </si>
  <si>
    <t>John</t>
  </si>
  <si>
    <t>Vicky</t>
  </si>
  <si>
    <t>Priya</t>
  </si>
  <si>
    <t>Rahul</t>
  </si>
  <si>
    <t>Amit</t>
  </si>
  <si>
    <t>Sneha</t>
  </si>
  <si>
    <t>Count of Order_ID</t>
  </si>
  <si>
    <t>Retail</t>
  </si>
  <si>
    <t>Corporate</t>
  </si>
  <si>
    <t>May</t>
  </si>
  <si>
    <t>March</t>
  </si>
  <si>
    <t>February</t>
  </si>
  <si>
    <t>April</t>
  </si>
  <si>
    <t>January</t>
  </si>
  <si>
    <t>June</t>
  </si>
  <si>
    <t>September</t>
  </si>
  <si>
    <t>December</t>
  </si>
  <si>
    <t>November</t>
  </si>
  <si>
    <t>October</t>
  </si>
  <si>
    <t>July</t>
  </si>
  <si>
    <t>August</t>
  </si>
  <si>
    <t>Order_ID</t>
  </si>
  <si>
    <t>Order_Date</t>
  </si>
  <si>
    <t>Months</t>
  </si>
  <si>
    <t>State</t>
  </si>
  <si>
    <t>City</t>
  </si>
  <si>
    <t>Category</t>
  </si>
  <si>
    <t>Sub_Category</t>
  </si>
  <si>
    <t>Product</t>
  </si>
  <si>
    <t>Salesperson</t>
  </si>
  <si>
    <t>Customer_Type</t>
  </si>
  <si>
    <t>Quantity</t>
  </si>
  <si>
    <t>Unit_Price</t>
  </si>
  <si>
    <t>Discount_%</t>
  </si>
  <si>
    <t>Sales</t>
  </si>
  <si>
    <t>Profit</t>
  </si>
  <si>
    <t>ORD00001</t>
  </si>
  <si>
    <t>2026-03-14</t>
  </si>
  <si>
    <t>West Bengal</t>
  </si>
  <si>
    <t>Kolkata</t>
  </si>
  <si>
    <t>Desk</t>
  </si>
  <si>
    <t>ORD00002</t>
  </si>
  <si>
    <t>2026-06-22</t>
  </si>
  <si>
    <t>Odisha</t>
  </si>
  <si>
    <t>Bhubaneswar</t>
  </si>
  <si>
    <t>Keyboard</t>
  </si>
  <si>
    <t>ORD00003</t>
  </si>
  <si>
    <t>2026-04-28</t>
  </si>
  <si>
    <t>Tamil Nadu</t>
  </si>
  <si>
    <t>Chennai</t>
  </si>
  <si>
    <t>Notebook</t>
  </si>
  <si>
    <t>ORD00004</t>
  </si>
  <si>
    <t>2025-03-04</t>
  </si>
  <si>
    <t>Karnataka</t>
  </si>
  <si>
    <t>Bengaluru</t>
  </si>
  <si>
    <t>Chair</t>
  </si>
  <si>
    <t>ORD00005</t>
  </si>
  <si>
    <t>2025-06-03</t>
  </si>
  <si>
    <t>Monitor</t>
  </si>
  <si>
    <t>ORD00006</t>
  </si>
  <si>
    <t>2025-03-13</t>
  </si>
  <si>
    <t>Chandigarh</t>
  </si>
  <si>
    <t>Stapler</t>
  </si>
  <si>
    <t>ORD00007</t>
  </si>
  <si>
    <t>2025-03-17</t>
  </si>
  <si>
    <t>ORD00008</t>
  </si>
  <si>
    <t>2025-12-03</t>
  </si>
  <si>
    <t>Maharashtra</t>
  </si>
  <si>
    <t>Mumbai</t>
  </si>
  <si>
    <t>Table</t>
  </si>
  <si>
    <t>ORD00009</t>
  </si>
  <si>
    <t>2026-01-15</t>
  </si>
  <si>
    <t>ORD00010</t>
  </si>
  <si>
    <t>2026-04-13</t>
  </si>
  <si>
    <t>ORD00011</t>
  </si>
  <si>
    <t>2025-07-02</t>
  </si>
  <si>
    <t>Mobile</t>
  </si>
  <si>
    <t>ORD00012</t>
  </si>
  <si>
    <t>2025-05-17</t>
  </si>
  <si>
    <t>Printer Paper</t>
  </si>
  <si>
    <t>ORD00013</t>
  </si>
  <si>
    <t>2025-11-16</t>
  </si>
  <si>
    <t>ORD00014</t>
  </si>
  <si>
    <t>2025-08-20</t>
  </si>
  <si>
    <t>ORD00015</t>
  </si>
  <si>
    <t>2026-02-12</t>
  </si>
  <si>
    <t>Sofa</t>
  </si>
  <si>
    <t>ORD00016</t>
  </si>
  <si>
    <t>2025-02-19</t>
  </si>
  <si>
    <t>Gujarat</t>
  </si>
  <si>
    <t>Ahmedabad</t>
  </si>
  <si>
    <t>ORD00017</t>
  </si>
  <si>
    <t>2025-09-04</t>
  </si>
  <si>
    <t>ORD00018</t>
  </si>
  <si>
    <t>2025-10-14</t>
  </si>
  <si>
    <t>ORD00019</t>
  </si>
  <si>
    <t>2025-08-23</t>
  </si>
  <si>
    <t>ORD00020</t>
  </si>
  <si>
    <t>2025-11-09</t>
  </si>
  <si>
    <t>ORD00021</t>
  </si>
  <si>
    <t>2025-03-08</t>
  </si>
  <si>
    <t>ORD00022</t>
  </si>
  <si>
    <t>2025-02-07</t>
  </si>
  <si>
    <t>Delhi</t>
  </si>
  <si>
    <t>ORD00023</t>
  </si>
  <si>
    <t>2025-01-27</t>
  </si>
  <si>
    <t>ORD00024</t>
  </si>
  <si>
    <t>2026-03-23</t>
  </si>
  <si>
    <t>ORD00025</t>
  </si>
  <si>
    <t>2025-03-19</t>
  </si>
  <si>
    <t>ORD00026</t>
  </si>
  <si>
    <t>2025-12-23</t>
  </si>
  <si>
    <t>Laptop</t>
  </si>
  <si>
    <t>ORD00027</t>
  </si>
  <si>
    <t>2025-12-28</t>
  </si>
  <si>
    <t>ORD00028</t>
  </si>
  <si>
    <t>2025-09-08</t>
  </si>
  <si>
    <t>ORD00029</t>
  </si>
  <si>
    <t>2026-02-06</t>
  </si>
  <si>
    <t>Pen</t>
  </si>
  <si>
    <t>ORD00030</t>
  </si>
  <si>
    <t>2026-05-16</t>
  </si>
  <si>
    <t>ORD00031</t>
  </si>
  <si>
    <t>2025-11-10</t>
  </si>
  <si>
    <t>ORD00032</t>
  </si>
  <si>
    <t>2026-02-07</t>
  </si>
  <si>
    <t>ORD00033</t>
  </si>
  <si>
    <t>2025-03-27</t>
  </si>
  <si>
    <t>ORD00034</t>
  </si>
  <si>
    <t>ORD00035</t>
  </si>
  <si>
    <t>2026-01-05</t>
  </si>
  <si>
    <t>ORD00036</t>
  </si>
  <si>
    <t>2026-05-05</t>
  </si>
  <si>
    <t>ORD00037</t>
  </si>
  <si>
    <t>2026-06-08</t>
  </si>
  <si>
    <t>ORD00038</t>
  </si>
  <si>
    <t>2026-01-01</t>
  </si>
  <si>
    <t>ORD00039</t>
  </si>
  <si>
    <t>2025-01-19</t>
  </si>
  <si>
    <t>ORD00040</t>
  </si>
  <si>
    <t>2025-04-11</t>
  </si>
  <si>
    <t>ORD00041</t>
  </si>
  <si>
    <t>2025-12-20</t>
  </si>
  <si>
    <t>ORD00042</t>
  </si>
  <si>
    <t>2025-05-23</t>
  </si>
  <si>
    <t>ORD00043</t>
  </si>
  <si>
    <t>2025-09-25</t>
  </si>
  <si>
    <t>ORD00044</t>
  </si>
  <si>
    <t>ORD00045</t>
  </si>
  <si>
    <t>2026-03-17</t>
  </si>
  <si>
    <t>ORD00046</t>
  </si>
  <si>
    <t>2026-02-09</t>
  </si>
  <si>
    <t>ORD00047</t>
  </si>
  <si>
    <t>2025-02-04</t>
  </si>
  <si>
    <t>ORD00048</t>
  </si>
  <si>
    <t>2025-04-03</t>
  </si>
  <si>
    <t>ORD00049</t>
  </si>
  <si>
    <t>2025-12-29</t>
  </si>
  <si>
    <t>ORD00050</t>
  </si>
  <si>
    <t>2026-04-23</t>
  </si>
  <si>
    <t>ORD00051</t>
  </si>
  <si>
    <t>2025-11-20</t>
  </si>
  <si>
    <t>ORD00052</t>
  </si>
  <si>
    <t>2025-09-05</t>
  </si>
  <si>
    <t>ORD00053</t>
  </si>
  <si>
    <t>2025-08-28</t>
  </si>
  <si>
    <t>ORD00054</t>
  </si>
  <si>
    <t>2026-03-28</t>
  </si>
  <si>
    <t>ORD00055</t>
  </si>
  <si>
    <t>2026-03-29</t>
  </si>
  <si>
    <t>ORD00056</t>
  </si>
  <si>
    <t>ORD00057</t>
  </si>
  <si>
    <t>2025-10-18</t>
  </si>
  <si>
    <t>ORD00058</t>
  </si>
  <si>
    <t>2025-02-24</t>
  </si>
  <si>
    <t>ORD00059</t>
  </si>
  <si>
    <t>2025-10-20</t>
  </si>
  <si>
    <t>ORD00060</t>
  </si>
  <si>
    <t>2025-04-13</t>
  </si>
  <si>
    <t>ORD00061</t>
  </si>
  <si>
    <t>2025-02-11</t>
  </si>
  <si>
    <t>ORD00062</t>
  </si>
  <si>
    <t>2025-03-09</t>
  </si>
  <si>
    <t>ORD00063</t>
  </si>
  <si>
    <t>2025-04-22</t>
  </si>
  <si>
    <t>ORD00064</t>
  </si>
  <si>
    <t>2026-05-01</t>
  </si>
  <si>
    <t>ORD00065</t>
  </si>
  <si>
    <t>2026-05-13</t>
  </si>
  <si>
    <t>ORD00066</t>
  </si>
  <si>
    <t>2025-10-06</t>
  </si>
  <si>
    <t>ORD00067</t>
  </si>
  <si>
    <t>2025-05-28</t>
  </si>
  <si>
    <t>ORD00068</t>
  </si>
  <si>
    <t>2026-01-29</t>
  </si>
  <si>
    <t>ORD00069</t>
  </si>
  <si>
    <t>2026-05-19</t>
  </si>
  <si>
    <t>ORD00070</t>
  </si>
  <si>
    <t>ORD00071</t>
  </si>
  <si>
    <t>2026-05-27</t>
  </si>
  <si>
    <t>ORD00072</t>
  </si>
  <si>
    <t>2025-03-15</t>
  </si>
  <si>
    <t>ORD00073</t>
  </si>
  <si>
    <t>2026-04-14</t>
  </si>
  <si>
    <t>ORD00074</t>
  </si>
  <si>
    <t>2026-04-27</t>
  </si>
  <si>
    <t>ORD00075</t>
  </si>
  <si>
    <t>2025-01-18</t>
  </si>
  <si>
    <t>ORD00076</t>
  </si>
  <si>
    <t>2025-12-13</t>
  </si>
  <si>
    <t>ORD00077</t>
  </si>
  <si>
    <t>ORD00078</t>
  </si>
  <si>
    <t>2025-11-14</t>
  </si>
  <si>
    <t>ORD00079</t>
  </si>
  <si>
    <t>2025-05-26</t>
  </si>
  <si>
    <t>ORD00080</t>
  </si>
  <si>
    <t>2025-10-23</t>
  </si>
  <si>
    <t>ORD00081</t>
  </si>
  <si>
    <t>2025-12-26</t>
  </si>
  <si>
    <t>ORD00082</t>
  </si>
  <si>
    <t>2025-08-17</t>
  </si>
  <si>
    <t>ORD00083</t>
  </si>
  <si>
    <t>2025-02-13</t>
  </si>
  <si>
    <t>ORD00084</t>
  </si>
  <si>
    <t>2025-12-09</t>
  </si>
  <si>
    <t>ORD00085</t>
  </si>
  <si>
    <t>ORD00086</t>
  </si>
  <si>
    <t>2025-01-10</t>
  </si>
  <si>
    <t>ORD00087</t>
  </si>
  <si>
    <t>2025-11-26</t>
  </si>
  <si>
    <t>ORD00088</t>
  </si>
  <si>
    <t>2025-07-19</t>
  </si>
  <si>
    <t>ORD00089</t>
  </si>
  <si>
    <t>2026-05-18</t>
  </si>
  <si>
    <t>ORD00090</t>
  </si>
  <si>
    <t>2025-03-05</t>
  </si>
  <si>
    <t>ORD00091</t>
  </si>
  <si>
    <t>2026-02-11</t>
  </si>
  <si>
    <t>ORD00092</t>
  </si>
  <si>
    <t>2025-10-09</t>
  </si>
  <si>
    <t>ORD00093</t>
  </si>
  <si>
    <t>2026-05-08</t>
  </si>
  <si>
    <t>ORD00094</t>
  </si>
  <si>
    <t>ORD00095</t>
  </si>
  <si>
    <t>2025-10-11</t>
  </si>
  <si>
    <t>ORD00096</t>
  </si>
  <si>
    <t>2026-05-07</t>
  </si>
  <si>
    <t>ORD00097</t>
  </si>
  <si>
    <t>2026-03-27</t>
  </si>
  <si>
    <t>ORD00098</t>
  </si>
  <si>
    <t>2026-06-04</t>
  </si>
  <si>
    <t>ORD00099</t>
  </si>
  <si>
    <t>2025-10-17</t>
  </si>
  <si>
    <t>ORD00100</t>
  </si>
  <si>
    <t>2025-11-28</t>
  </si>
  <si>
    <t>ORD00101</t>
  </si>
  <si>
    <t>2025-04-01</t>
  </si>
  <si>
    <t>ORD00102</t>
  </si>
  <si>
    <t>2026-05-15</t>
  </si>
  <si>
    <t>ORD00103</t>
  </si>
  <si>
    <t>ORD00104</t>
  </si>
  <si>
    <t>2025-05-30</t>
  </si>
  <si>
    <t>ORD00105</t>
  </si>
  <si>
    <t>2026-04-24</t>
  </si>
  <si>
    <t>ORD00106</t>
  </si>
  <si>
    <t>2026-02-23</t>
  </si>
  <si>
    <t>ORD00107</t>
  </si>
  <si>
    <t>2026-03-19</t>
  </si>
  <si>
    <t>ORD00108</t>
  </si>
  <si>
    <t>2026-04-18</t>
  </si>
  <si>
    <t>ORD00109</t>
  </si>
  <si>
    <t>2025-01-22</t>
  </si>
  <si>
    <t>ORD00110</t>
  </si>
  <si>
    <t>2025-11-17</t>
  </si>
  <si>
    <t>ORD00111</t>
  </si>
  <si>
    <t>2025-07-13</t>
  </si>
  <si>
    <t>ORD00112</t>
  </si>
  <si>
    <t>2025-07-11</t>
  </si>
  <si>
    <t>ORD00113</t>
  </si>
  <si>
    <t>2025-08-22</t>
  </si>
  <si>
    <t>ORD00114</t>
  </si>
  <si>
    <t>2025-07-09</t>
  </si>
  <si>
    <t>ORD00115</t>
  </si>
  <si>
    <t>2025-05-06</t>
  </si>
  <si>
    <t>ORD00116</t>
  </si>
  <si>
    <t>2026-03-16</t>
  </si>
  <si>
    <t>ORD00117</t>
  </si>
  <si>
    <t>ORD00118</t>
  </si>
  <si>
    <t>2026-04-10</t>
  </si>
  <si>
    <t>ORD00119</t>
  </si>
  <si>
    <t>2025-02-01</t>
  </si>
  <si>
    <t>ORD00120</t>
  </si>
  <si>
    <t>2025-08-11</t>
  </si>
  <si>
    <t>ORD00121</t>
  </si>
  <si>
    <t>2025-08-04</t>
  </si>
  <si>
    <t>ORD00122</t>
  </si>
  <si>
    <t>2025-03-30</t>
  </si>
  <si>
    <t>ORD00123</t>
  </si>
  <si>
    <t>ORD00124</t>
  </si>
  <si>
    <t>ORD00125</t>
  </si>
  <si>
    <t>2025-06-08</t>
  </si>
  <si>
    <t>ORD00126</t>
  </si>
  <si>
    <t>2025-06-05</t>
  </si>
  <si>
    <t>ORD00127</t>
  </si>
  <si>
    <t>2025-04-07</t>
  </si>
  <si>
    <t>ORD00128</t>
  </si>
  <si>
    <t>2025-10-16</t>
  </si>
  <si>
    <t>ORD00129</t>
  </si>
  <si>
    <t>2026-01-04</t>
  </si>
  <si>
    <t>ORD00130</t>
  </si>
  <si>
    <t>2025-11-03</t>
  </si>
  <si>
    <t>ORD00131</t>
  </si>
  <si>
    <t>ORD00132</t>
  </si>
  <si>
    <t>2025-06-19</t>
  </si>
  <si>
    <t>ORD00133</t>
  </si>
  <si>
    <t>ORD00134</t>
  </si>
  <si>
    <t>2025-06-26</t>
  </si>
  <si>
    <t>ORD00135</t>
  </si>
  <si>
    <t>2025-07-12</t>
  </si>
  <si>
    <t>ORD00136</t>
  </si>
  <si>
    <t>2025-11-18</t>
  </si>
  <si>
    <t>ORD00137</t>
  </si>
  <si>
    <t>2025-04-28</t>
  </si>
  <si>
    <t>ORD00138</t>
  </si>
  <si>
    <t>2025-03-07</t>
  </si>
  <si>
    <t>ORD00139</t>
  </si>
  <si>
    <t>2025-05-04</t>
  </si>
  <si>
    <t>ORD00140</t>
  </si>
  <si>
    <t>2025-01-21</t>
  </si>
  <si>
    <t>ORD00141</t>
  </si>
  <si>
    <t>ORD00142</t>
  </si>
  <si>
    <t>2025-03-06</t>
  </si>
  <si>
    <t>ORD00143</t>
  </si>
  <si>
    <t>2025-09-11</t>
  </si>
  <si>
    <t>ORD00144</t>
  </si>
  <si>
    <t>2025-06-25</t>
  </si>
  <si>
    <t>ORD00145</t>
  </si>
  <si>
    <t>ORD00146</t>
  </si>
  <si>
    <t>ORD00147</t>
  </si>
  <si>
    <t>ORD00148</t>
  </si>
  <si>
    <t>2026-05-02</t>
  </si>
  <si>
    <t>ORD00149</t>
  </si>
  <si>
    <t>2025-06-15</t>
  </si>
  <si>
    <t>ORD00150</t>
  </si>
  <si>
    <t>2025-02-09</t>
  </si>
  <si>
    <t>ORD00151</t>
  </si>
  <si>
    <t>2025-04-08</t>
  </si>
  <si>
    <t>ORD00152</t>
  </si>
  <si>
    <t>ORD00153</t>
  </si>
  <si>
    <t>2025-10-24</t>
  </si>
  <si>
    <t>ORD00154</t>
  </si>
  <si>
    <t>2025-02-15</t>
  </si>
  <si>
    <t>ORD00155</t>
  </si>
  <si>
    <t>ORD00156</t>
  </si>
  <si>
    <t>2025-07-25</t>
  </si>
  <si>
    <t>ORD00157</t>
  </si>
  <si>
    <t>ORD00158</t>
  </si>
  <si>
    <t>ORD00159</t>
  </si>
  <si>
    <t>ORD00160</t>
  </si>
  <si>
    <t>2026-05-03</t>
  </si>
  <si>
    <t>ORD00161</t>
  </si>
  <si>
    <t>2025-02-18</t>
  </si>
  <si>
    <t>ORD00162</t>
  </si>
  <si>
    <t>2025-12-27</t>
  </si>
  <si>
    <t>ORD00163</t>
  </si>
  <si>
    <t>2026-03-25</t>
  </si>
  <si>
    <t>ORD00164</t>
  </si>
  <si>
    <t>2025-09-20</t>
  </si>
  <si>
    <t>ORD00165</t>
  </si>
  <si>
    <t>2025-01-05</t>
  </si>
  <si>
    <t>ORD00166</t>
  </si>
  <si>
    <t>2026-01-23</t>
  </si>
  <si>
    <t>ORD00167</t>
  </si>
  <si>
    <t>2026-06-12</t>
  </si>
  <si>
    <t>ORD00168</t>
  </si>
  <si>
    <t>2025-12-31</t>
  </si>
  <si>
    <t>ORD00169</t>
  </si>
  <si>
    <t>2026-03-08</t>
  </si>
  <si>
    <t>ORD00170</t>
  </si>
  <si>
    <t>2025-08-18</t>
  </si>
  <si>
    <t>ORD00171</t>
  </si>
  <si>
    <t>2025-01-13</t>
  </si>
  <si>
    <t>ORD00172</t>
  </si>
  <si>
    <t>2025-01-09</t>
  </si>
  <si>
    <t>ORD00173</t>
  </si>
  <si>
    <t>2025-04-05</t>
  </si>
  <si>
    <t>ORD00174</t>
  </si>
  <si>
    <t>ORD00175</t>
  </si>
  <si>
    <t>ORD00176</t>
  </si>
  <si>
    <t>2025-08-21</t>
  </si>
  <si>
    <t>ORD00177</t>
  </si>
  <si>
    <t>2025-01-11</t>
  </si>
  <si>
    <t>ORD00178</t>
  </si>
  <si>
    <t>ORD00179</t>
  </si>
  <si>
    <t>2025-12-11</t>
  </si>
  <si>
    <t>ORD00180</t>
  </si>
  <si>
    <t>2026-02-19</t>
  </si>
  <si>
    <t>ORD00181</t>
  </si>
  <si>
    <t>ORD00182</t>
  </si>
  <si>
    <t>ORD00183</t>
  </si>
  <si>
    <t>ORD00184</t>
  </si>
  <si>
    <t>ORD00185</t>
  </si>
  <si>
    <t>ORD00186</t>
  </si>
  <si>
    <t>2026-01-10</t>
  </si>
  <si>
    <t>ORD00187</t>
  </si>
  <si>
    <t>ORD00188</t>
  </si>
  <si>
    <t>2025-09-28</t>
  </si>
  <si>
    <t>ORD00189</t>
  </si>
  <si>
    <t>2026-01-09</t>
  </si>
  <si>
    <t>ORD00190</t>
  </si>
  <si>
    <t>2025-02-22</t>
  </si>
  <si>
    <t>ORD00191</t>
  </si>
  <si>
    <t>2026-03-06</t>
  </si>
  <si>
    <t>ORD00192</t>
  </si>
  <si>
    <t>2025-11-19</t>
  </si>
  <si>
    <t>ORD00193</t>
  </si>
  <si>
    <t>2026-02-02</t>
  </si>
  <si>
    <t>ORD00194</t>
  </si>
  <si>
    <t>ORD00195</t>
  </si>
  <si>
    <t>2026-04-19</t>
  </si>
  <si>
    <t>ORD00196</t>
  </si>
  <si>
    <t>2026-02-18</t>
  </si>
  <si>
    <t>ORD00197</t>
  </si>
  <si>
    <t>2026-03-07</t>
  </si>
  <si>
    <t>ORD00198</t>
  </si>
  <si>
    <t>ORD00199</t>
  </si>
  <si>
    <t>2025-09-06</t>
  </si>
  <si>
    <t>ORD00200</t>
  </si>
  <si>
    <t>2025-08-09</t>
  </si>
  <si>
    <t>ORD00201</t>
  </si>
  <si>
    <t>2026-03-26</t>
  </si>
  <si>
    <t>ORD00202</t>
  </si>
  <si>
    <t>ORD00203</t>
  </si>
  <si>
    <t>2025-09-12</t>
  </si>
  <si>
    <t>ORD00204</t>
  </si>
  <si>
    <t>ORD00205</t>
  </si>
  <si>
    <t>ORD00206</t>
  </si>
  <si>
    <t>ORD00207</t>
  </si>
  <si>
    <t>2026-02-28</t>
  </si>
  <si>
    <t>ORD00208</t>
  </si>
  <si>
    <t>ORD00209</t>
  </si>
  <si>
    <t>2025-01-12</t>
  </si>
  <si>
    <t>ORD00210</t>
  </si>
  <si>
    <t>2025-03-11</t>
  </si>
  <si>
    <t>ORD00211</t>
  </si>
  <si>
    <t>2026-01-28</t>
  </si>
  <si>
    <t>ORD00212</t>
  </si>
  <si>
    <t>ORD00213</t>
  </si>
  <si>
    <t>2026-06-03</t>
  </si>
  <si>
    <t>ORD00214</t>
  </si>
  <si>
    <t>2025-05-07</t>
  </si>
  <si>
    <t>ORD00215</t>
  </si>
  <si>
    <t>2025-12-30</t>
  </si>
  <si>
    <t>ORD00216</t>
  </si>
  <si>
    <t>2025-01-08</t>
  </si>
  <si>
    <t>ORD00217</t>
  </si>
  <si>
    <t>ORD00218</t>
  </si>
  <si>
    <t>2025-08-10</t>
  </si>
  <si>
    <t>ORD00219</t>
  </si>
  <si>
    <t>ORD00220</t>
  </si>
  <si>
    <t>2025-04-12</t>
  </si>
  <si>
    <t>ORD00221</t>
  </si>
  <si>
    <t>2025-01-14</t>
  </si>
  <si>
    <t>ORD00222</t>
  </si>
  <si>
    <t>2026-04-26</t>
  </si>
  <si>
    <t>ORD00223</t>
  </si>
  <si>
    <t>ORD00224</t>
  </si>
  <si>
    <t>2025-12-01</t>
  </si>
  <si>
    <t>ORD00225</t>
  </si>
  <si>
    <t>2025-09-03</t>
  </si>
  <si>
    <t>ORD00226</t>
  </si>
  <si>
    <t>2026-03-10</t>
  </si>
  <si>
    <t>ORD00227</t>
  </si>
  <si>
    <t>2026-05-04</t>
  </si>
  <si>
    <t>ORD00228</t>
  </si>
  <si>
    <t>ORD00229</t>
  </si>
  <si>
    <t>2025-08-31</t>
  </si>
  <si>
    <t>ORD00230</t>
  </si>
  <si>
    <t>ORD00231</t>
  </si>
  <si>
    <t>2025-01-23</t>
  </si>
  <si>
    <t>ORD00232</t>
  </si>
  <si>
    <t>2025-06-06</t>
  </si>
  <si>
    <t>ORD00233</t>
  </si>
  <si>
    <t>2025-08-24</t>
  </si>
  <si>
    <t>ORD00234</t>
  </si>
  <si>
    <t>2026-02-08</t>
  </si>
  <si>
    <t>ORD00235</t>
  </si>
  <si>
    <t>2025-02-25</t>
  </si>
  <si>
    <t>ORD00236</t>
  </si>
  <si>
    <t>2025-03-12</t>
  </si>
  <si>
    <t>ORD00237</t>
  </si>
  <si>
    <t>2025-11-21</t>
  </si>
  <si>
    <t>ORD00238</t>
  </si>
  <si>
    <t>2026-05-28</t>
  </si>
  <si>
    <t>ORD00239</t>
  </si>
  <si>
    <t>2025-04-27</t>
  </si>
  <si>
    <t>ORD00240</t>
  </si>
  <si>
    <t>ORD00241</t>
  </si>
  <si>
    <t>2025-12-25</t>
  </si>
  <si>
    <t>ORD00242</t>
  </si>
  <si>
    <t>2025-09-29</t>
  </si>
  <si>
    <t>ORD00243</t>
  </si>
  <si>
    <t>2025-04-19</t>
  </si>
  <si>
    <t>ORD00244</t>
  </si>
  <si>
    <t>2025-02-02</t>
  </si>
  <si>
    <t>ORD00245</t>
  </si>
  <si>
    <t>ORD00246</t>
  </si>
  <si>
    <t>ORD00247</t>
  </si>
  <si>
    <t>2026-02-01</t>
  </si>
  <si>
    <t>ORD00248</t>
  </si>
  <si>
    <t>ORD00249</t>
  </si>
  <si>
    <t>ORD00250</t>
  </si>
  <si>
    <t>ORD00251</t>
  </si>
  <si>
    <t>ORD00252</t>
  </si>
  <si>
    <t>2026-04-11</t>
  </si>
  <si>
    <t>ORD00253</t>
  </si>
  <si>
    <t>ORD00254</t>
  </si>
  <si>
    <t>2025-07-16</t>
  </si>
  <si>
    <t>ORD00255</t>
  </si>
  <si>
    <t>2025-06-07</t>
  </si>
  <si>
    <t>ORD00256</t>
  </si>
  <si>
    <t>2025-07-28</t>
  </si>
  <si>
    <t>ORD00257</t>
  </si>
  <si>
    <t>ORD00258</t>
  </si>
  <si>
    <t>ORD00259</t>
  </si>
  <si>
    <t>ORD00260</t>
  </si>
  <si>
    <t>ORD00261</t>
  </si>
  <si>
    <t>ORD00262</t>
  </si>
  <si>
    <t>2025-01-20</t>
  </si>
  <si>
    <t>ORD00263</t>
  </si>
  <si>
    <t>ORD00264</t>
  </si>
  <si>
    <t>ORD00265</t>
  </si>
  <si>
    <t>ORD00266</t>
  </si>
  <si>
    <t>ORD00267</t>
  </si>
  <si>
    <t>ORD00268</t>
  </si>
  <si>
    <t>2026-02-15</t>
  </si>
  <si>
    <t>ORD00269</t>
  </si>
  <si>
    <t>ORD00270</t>
  </si>
  <si>
    <t>ORD00271</t>
  </si>
  <si>
    <t>ORD00272</t>
  </si>
  <si>
    <t>2025-02-20</t>
  </si>
  <si>
    <t>ORD00273</t>
  </si>
  <si>
    <t>ORD00274</t>
  </si>
  <si>
    <t>2025-07-15</t>
  </si>
  <si>
    <t>ORD00275</t>
  </si>
  <si>
    <t>2026-03-22</t>
  </si>
  <si>
    <t>ORD00276</t>
  </si>
  <si>
    <t>2025-07-27</t>
  </si>
  <si>
    <t>ORD00277</t>
  </si>
  <si>
    <t>2026-01-07</t>
  </si>
  <si>
    <t>ORD00278</t>
  </si>
  <si>
    <t>2025-07-01</t>
  </si>
  <si>
    <t>ORD00279</t>
  </si>
  <si>
    <t>2025-10-07</t>
  </si>
  <si>
    <t>ORD00280</t>
  </si>
  <si>
    <t>2026-01-13</t>
  </si>
  <si>
    <t>ORD00281</t>
  </si>
  <si>
    <t>2025-12-10</t>
  </si>
  <si>
    <t>ORD00282</t>
  </si>
  <si>
    <t>ORD00283</t>
  </si>
  <si>
    <t>2026-06-20</t>
  </si>
  <si>
    <t>ORD00284</t>
  </si>
  <si>
    <t>2025-11-01</t>
  </si>
  <si>
    <t>ORD00285</t>
  </si>
  <si>
    <t>2026-02-24</t>
  </si>
  <si>
    <t>ORD00286</t>
  </si>
  <si>
    <t>ORD00287</t>
  </si>
  <si>
    <t>2026-06-10</t>
  </si>
  <si>
    <t>ORD00288</t>
  </si>
  <si>
    <t>2025-12-08</t>
  </si>
  <si>
    <t>ORD00289</t>
  </si>
  <si>
    <t>2026-01-06</t>
  </si>
  <si>
    <t>ORD00290</t>
  </si>
  <si>
    <t>ORD00291</t>
  </si>
  <si>
    <t>2025-09-22</t>
  </si>
  <si>
    <t>ORD00292</t>
  </si>
  <si>
    <t>ORD00293</t>
  </si>
  <si>
    <t>ORD00294</t>
  </si>
  <si>
    <t>ORD00295</t>
  </si>
  <si>
    <t>ORD00296</t>
  </si>
  <si>
    <t>2025-03-20</t>
  </si>
  <si>
    <t>ORD00297</t>
  </si>
  <si>
    <t>ORD00298</t>
  </si>
  <si>
    <t>ORD00299</t>
  </si>
  <si>
    <t>ORD00300</t>
  </si>
  <si>
    <t>2025-06-13</t>
  </si>
  <si>
    <t>ORD00301</t>
  </si>
  <si>
    <t>2025-11-04</t>
  </si>
  <si>
    <t>ORD00302</t>
  </si>
  <si>
    <t>2025-04-06</t>
  </si>
  <si>
    <t>ORD00303</t>
  </si>
  <si>
    <t>ORD00304</t>
  </si>
  <si>
    <t>2025-06-11</t>
  </si>
  <si>
    <t>ORD00305</t>
  </si>
  <si>
    <t>ORD00306</t>
  </si>
  <si>
    <t>2025-08-29</t>
  </si>
  <si>
    <t>ORD00307</t>
  </si>
  <si>
    <t>2025-07-05</t>
  </si>
  <si>
    <t>ORD00308</t>
  </si>
  <si>
    <t>2025-09-27</t>
  </si>
  <si>
    <t>ORD00309</t>
  </si>
  <si>
    <t>ORD00310</t>
  </si>
  <si>
    <t>ORD00311</t>
  </si>
  <si>
    <t>2025-03-03</t>
  </si>
  <si>
    <t>ORD00312</t>
  </si>
  <si>
    <t>ORD00313</t>
  </si>
  <si>
    <t>2025-12-15</t>
  </si>
  <si>
    <t>ORD00314</t>
  </si>
  <si>
    <t>2026-04-30</t>
  </si>
  <si>
    <t>ORD00315</t>
  </si>
  <si>
    <t>2025-05-13</t>
  </si>
  <si>
    <t>ORD00316</t>
  </si>
  <si>
    <t>ORD00317</t>
  </si>
  <si>
    <t>ORD00318</t>
  </si>
  <si>
    <t>2025-08-12</t>
  </si>
  <si>
    <t>ORD00319</t>
  </si>
  <si>
    <t>2026-02-05</t>
  </si>
  <si>
    <t>ORD00320</t>
  </si>
  <si>
    <t>2025-12-06</t>
  </si>
  <si>
    <t>ORD00321</t>
  </si>
  <si>
    <t>2025-10-31</t>
  </si>
  <si>
    <t>ORD00322</t>
  </si>
  <si>
    <t>2026-05-30</t>
  </si>
  <si>
    <t>ORD00323</t>
  </si>
  <si>
    <t>ORD00324</t>
  </si>
  <si>
    <t>2025-05-25</t>
  </si>
  <si>
    <t>ORD00325</t>
  </si>
  <si>
    <t>2025-03-16</t>
  </si>
  <si>
    <t>ORD00326</t>
  </si>
  <si>
    <t>2025-09-09</t>
  </si>
  <si>
    <t>ORD00327</t>
  </si>
  <si>
    <t>ORD00328</t>
  </si>
  <si>
    <t>2025-04-16</t>
  </si>
  <si>
    <t>ORD00329</t>
  </si>
  <si>
    <t>2025-12-12</t>
  </si>
  <si>
    <t>ORD00330</t>
  </si>
  <si>
    <t>ORD00331</t>
  </si>
  <si>
    <t>ORD00332</t>
  </si>
  <si>
    <t>2025-05-01</t>
  </si>
  <si>
    <t>ORD00333</t>
  </si>
  <si>
    <t>2026-04-05</t>
  </si>
  <si>
    <t>ORD00334</t>
  </si>
  <si>
    <t>ORD00335</t>
  </si>
  <si>
    <t>ORD00336</t>
  </si>
  <si>
    <t>ORD00337</t>
  </si>
  <si>
    <t>2025-06-22</t>
  </si>
  <si>
    <t>ORD00338</t>
  </si>
  <si>
    <t>2026-04-16</t>
  </si>
  <si>
    <t>ORD00339</t>
  </si>
  <si>
    <t>ORD00340</t>
  </si>
  <si>
    <t>ORD00341</t>
  </si>
  <si>
    <t>2026-03-02</t>
  </si>
  <si>
    <t>ORD00342</t>
  </si>
  <si>
    <t>2025-10-08</t>
  </si>
  <si>
    <t>ORD00343</t>
  </si>
  <si>
    <t>ORD00344</t>
  </si>
  <si>
    <t>2025-11-05</t>
  </si>
  <si>
    <t>ORD00345</t>
  </si>
  <si>
    <t>ORD00346</t>
  </si>
  <si>
    <t>2026-02-21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</si>
  <si>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</si>
  <si>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</si>
  <si>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</si>
  <si>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</si>
  <si>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</si>
  <si>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</si>
  <si>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</si>
  <si>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</si>
  <si>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2025-12-18</t>
  </si>
  <si>
    <t>ORD00355</t>
  </si>
  <si>
    <t>ORD00356</t>
  </si>
  <si>
    <t>2025-10-05</t>
  </si>
  <si>
    <t>ORD00357</t>
  </si>
  <si>
    <t>ORD00358</t>
  </si>
  <si>
    <t>ORD00359</t>
  </si>
  <si>
    <t>2025-06-20</t>
  </si>
  <si>
    <t>ORD00360</t>
  </si>
  <si>
    <t>ORD00361</t>
  </si>
  <si>
    <t>2025-01-07</t>
  </si>
  <si>
    <t>ORD00362</t>
  </si>
  <si>
    <t>ORD00363</t>
  </si>
  <si>
    <t>2025-01-31</t>
  </si>
  <si>
    <t>ORD00364</t>
  </si>
  <si>
    <t>2025-06-21</t>
  </si>
  <si>
    <t>ORD00365</t>
  </si>
  <si>
    <t>ORD00366</t>
  </si>
  <si>
    <t>ORD00367</t>
  </si>
  <si>
    <t>2025-08-05</t>
  </si>
  <si>
    <t>ORD00368</t>
  </si>
  <si>
    <t>2026-06-19</t>
  </si>
  <si>
    <t>ORD00369</t>
  </si>
  <si>
    <t>ORD00370</t>
  </si>
  <si>
    <t>2025-09-17</t>
  </si>
  <si>
    <t>ORD00371</t>
  </si>
  <si>
    <t>ORD00372</t>
  </si>
  <si>
    <t>ORD00373</t>
  </si>
  <si>
    <t>2025-09-14</t>
  </si>
  <si>
    <t>ORD00374</t>
  </si>
  <si>
    <t>ORD00375</t>
  </si>
  <si>
    <t>ORD00376</t>
  </si>
  <si>
    <t>2025-12-04</t>
  </si>
  <si>
    <t>ORD00377</t>
  </si>
  <si>
    <t>ORD00378</t>
  </si>
  <si>
    <t>2025-05-08</t>
  </si>
  <si>
    <t>ORD00379</t>
  </si>
  <si>
    <t>2026-06-25</t>
  </si>
  <si>
    <t>ORD00380</t>
  </si>
  <si>
    <t>2025-01-17</t>
  </si>
  <si>
    <t>ORD00381</t>
  </si>
  <si>
    <t>2025-03-29</t>
  </si>
  <si>
    <t>ORD00382</t>
  </si>
  <si>
    <t>2026-02-16</t>
  </si>
  <si>
    <t>ORD00383</t>
  </si>
  <si>
    <t>ORD00384</t>
  </si>
  <si>
    <t>2026-03-05</t>
  </si>
  <si>
    <t>ORD00385</t>
  </si>
  <si>
    <t>ORD00386</t>
  </si>
  <si>
    <t>ORD00387</t>
  </si>
  <si>
    <t>2025-08-06</t>
  </si>
  <si>
    <t>ORD00388</t>
  </si>
  <si>
    <t>2025-06-24</t>
  </si>
  <si>
    <t>ORD00389</t>
  </si>
  <si>
    <t>2025-09-15</t>
  </si>
  <si>
    <t>ORD00390</t>
  </si>
  <si>
    <t>ORD00391</t>
  </si>
  <si>
    <t>ORD00392</t>
  </si>
  <si>
    <t>ORD00393</t>
  </si>
  <si>
    <t>ORD00394</t>
  </si>
  <si>
    <t>2025-02-08</t>
  </si>
  <si>
    <t>ORD00395</t>
  </si>
  <si>
    <t>ORD00396</t>
  </si>
  <si>
    <t>ORD00397</t>
  </si>
  <si>
    <t>ORD00398</t>
  </si>
  <si>
    <t>2025-08-01</t>
  </si>
  <si>
    <t>ORD00399</t>
  </si>
  <si>
    <t>2026-04-21</t>
  </si>
  <si>
    <t>ORD00400</t>
  </si>
  <si>
    <t>ORD00401</t>
  </si>
  <si>
    <t>ORD00402</t>
  </si>
  <si>
    <t>ORD00403</t>
  </si>
  <si>
    <t>2025-07-29</t>
  </si>
  <si>
    <t>ORD00404</t>
  </si>
  <si>
    <t>ORD00405</t>
  </si>
  <si>
    <t>2026-02-25</t>
  </si>
  <si>
    <t>ORD00406</t>
  </si>
  <si>
    <t>2025-01-04</t>
  </si>
  <si>
    <t>ORD00407</t>
  </si>
  <si>
    <t>ORD00408</t>
  </si>
  <si>
    <t>2026-06-11</t>
  </si>
  <si>
    <t>ORD00409</t>
  </si>
  <si>
    <t>ORD00410</t>
  </si>
  <si>
    <t>ORD00411</t>
  </si>
  <si>
    <t>ORD00412</t>
  </si>
  <si>
    <t>2026-04-12</t>
  </si>
  <si>
    <t>ORD00413</t>
  </si>
  <si>
    <t>2026-05-09</t>
  </si>
  <si>
    <t>ORD00414</t>
  </si>
  <si>
    <t>2025-08-25</t>
  </si>
  <si>
    <t>ORD00415</t>
  </si>
  <si>
    <t>2025-05-20</t>
  </si>
  <si>
    <t>ORD00416</t>
  </si>
  <si>
    <t>ORD00417</t>
  </si>
  <si>
    <t>ORD00418</t>
  </si>
  <si>
    <t>2025-05-19</t>
  </si>
  <si>
    <t>ORD00419</t>
  </si>
  <si>
    <t>ORD00420</t>
  </si>
  <si>
    <t>2026-06-21</t>
  </si>
  <si>
    <t>ORD00421</t>
  </si>
  <si>
    <t>2025-09-02</t>
  </si>
  <si>
    <t>ORD00422</t>
  </si>
  <si>
    <t>2025-12-22</t>
  </si>
  <si>
    <t>ORD00423</t>
  </si>
  <si>
    <t>ORD00424</t>
  </si>
  <si>
    <t>ORD00425</t>
  </si>
  <si>
    <t>ORD00426</t>
  </si>
  <si>
    <t>2025-05-27</t>
  </si>
  <si>
    <t>ORD00427</t>
  </si>
  <si>
    <t>ORD00428</t>
  </si>
  <si>
    <t>2025-06-23</t>
  </si>
  <si>
    <t>ORD00429</t>
  </si>
  <si>
    <t>2025-11-22</t>
  </si>
  <si>
    <t>ORD00430</t>
  </si>
  <si>
    <t>ORD00431</t>
  </si>
  <si>
    <t>2025-09-01</t>
  </si>
  <si>
    <t>ORD00432</t>
  </si>
  <si>
    <t>ORD00433</t>
  </si>
  <si>
    <t>ORD00434</t>
  </si>
  <si>
    <t>ORD00435</t>
  </si>
  <si>
    <t>ORD00436</t>
  </si>
  <si>
    <t>2026-06-16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</si>
  <si>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</si>
  <si>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</si>
  <si>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</si>
  <si>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</si>
  <si>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</si>
  <si>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</si>
  <si>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</si>
  <si>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</si>
  <si>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2025-02-28</t>
  </si>
  <si>
    <t>ORD00445</t>
  </si>
  <si>
    <t>ORD00446</t>
  </si>
  <si>
    <t>2026-03-15</t>
  </si>
  <si>
    <t>ORD00447</t>
  </si>
  <si>
    <t>ORD00448</t>
  </si>
  <si>
    <t>ORD00449</t>
  </si>
  <si>
    <t>ORD00450</t>
  </si>
  <si>
    <t>ORD00451</t>
  </si>
  <si>
    <t>2025-12-21</t>
  </si>
  <si>
    <t>ORD00452</t>
  </si>
  <si>
    <t>ORD00453</t>
  </si>
  <si>
    <t>ORD00454</t>
  </si>
  <si>
    <t>2026-06-18</t>
  </si>
  <si>
    <t>ORD00455</t>
  </si>
  <si>
    <t>2025-01-26</t>
  </si>
  <si>
    <t>ORD00456</t>
  </si>
  <si>
    <t>2026-01-18</t>
  </si>
  <si>
    <t>ORD00457</t>
  </si>
  <si>
    <t>2026-04-20</t>
  </si>
  <si>
    <t>ORD00458</t>
  </si>
  <si>
    <t>2026-02-22</t>
  </si>
  <si>
    <t>ORD00459</t>
  </si>
  <si>
    <t>2025-10-01</t>
  </si>
  <si>
    <t>ORD00460</t>
  </si>
  <si>
    <t>2026-05-29</t>
  </si>
  <si>
    <t>ORD00461</t>
  </si>
  <si>
    <t>ORD00462</t>
  </si>
  <si>
    <t>ORD00463</t>
  </si>
  <si>
    <t>2025-11-08</t>
  </si>
  <si>
    <t>ORD00464</t>
  </si>
  <si>
    <t>2025-02-05</t>
  </si>
  <si>
    <t>ORD00465</t>
  </si>
  <si>
    <t>2025-10-27</t>
  </si>
  <si>
    <t>ORD00466</t>
  </si>
  <si>
    <t>ORD00467</t>
  </si>
  <si>
    <t>ORD00468</t>
  </si>
  <si>
    <t>ORD00469</t>
  </si>
  <si>
    <t>2026-02-14</t>
  </si>
  <si>
    <t>ORD00470</t>
  </si>
  <si>
    <t>ORD00471</t>
  </si>
  <si>
    <t>ORD00472</t>
  </si>
  <si>
    <t>2026-02-13</t>
  </si>
  <si>
    <t>ORD00473</t>
  </si>
  <si>
    <t>ORD00474</t>
  </si>
  <si>
    <t>ORD00475</t>
  </si>
  <si>
    <t>2026-01-20</t>
  </si>
  <si>
    <t>ORD00476</t>
  </si>
  <si>
    <t>2025-06-10</t>
  </si>
  <si>
    <t>ORD00477</t>
  </si>
  <si>
    <t>ORD00478</t>
  </si>
  <si>
    <t>2025-09-10</t>
  </si>
  <si>
    <t>ORD00479</t>
  </si>
  <si>
    <t>ORD00480</t>
  </si>
  <si>
    <t>2025-08-30</t>
  </si>
  <si>
    <t>ORD00481</t>
  </si>
  <si>
    <t>2026-06-14</t>
  </si>
  <si>
    <t>ORD00482</t>
  </si>
  <si>
    <t>ORD00483</t>
  </si>
  <si>
    <t>2025-10-10</t>
  </si>
  <si>
    <t>ORD00484</t>
  </si>
  <si>
    <t>ORD00485</t>
  </si>
  <si>
    <t>ORD00486</t>
  </si>
  <si>
    <t>ORD00487</t>
  </si>
  <si>
    <t>ORD00488</t>
  </si>
  <si>
    <t>ORD00489</t>
  </si>
  <si>
    <t>ORD00490</t>
  </si>
  <si>
    <t>2025-12-19</t>
  </si>
  <si>
    <t>ORD00491</t>
  </si>
  <si>
    <t>2026-03-01</t>
  </si>
  <si>
    <t>ORD00492</t>
  </si>
  <si>
    <t>ORD00493</t>
  </si>
  <si>
    <t>ORD00494</t>
  </si>
  <si>
    <t>2026-05-26</t>
  </si>
  <si>
    <t>ORD00495</t>
  </si>
  <si>
    <t>2026-01-14</t>
  </si>
  <si>
    <t>ORD00496</t>
  </si>
  <si>
    <t>ORD00497</t>
  </si>
  <si>
    <t>ORD00498</t>
  </si>
  <si>
    <t>2025-05-22</t>
  </si>
  <si>
    <t>ORD00499</t>
  </si>
  <si>
    <t>2025-01-15</t>
  </si>
  <si>
    <t>ORD00500</t>
  </si>
  <si>
    <t>ORD00501</t>
  </si>
  <si>
    <t>ORD00502</t>
  </si>
  <si>
    <t>ORD00503</t>
  </si>
  <si>
    <t>ORD00504</t>
  </si>
  <si>
    <t>2025-10-19</t>
  </si>
  <si>
    <t>ORD00505</t>
  </si>
  <si>
    <t>ORD00506</t>
  </si>
  <si>
    <t>ORD00507</t>
  </si>
  <si>
    <t>2025-05-12</t>
  </si>
  <si>
    <t>ORD00508</t>
  </si>
  <si>
    <t>ORD00509</t>
  </si>
  <si>
    <t>2025-02-23</t>
  </si>
  <si>
    <t>ORD00510</t>
  </si>
  <si>
    <t>2026-05-31</t>
  </si>
  <si>
    <t>ORD00511</t>
  </si>
  <si>
    <t>2026-05-21</t>
  </si>
  <si>
    <t>ORD00512</t>
  </si>
  <si>
    <t>2026-03-09</t>
  </si>
  <si>
    <t>ORD00513</t>
  </si>
  <si>
    <t>2026-02-20</t>
  </si>
  <si>
    <t>ORD00514</t>
  </si>
  <si>
    <t>2025-04-20</t>
  </si>
  <si>
    <t>ORD00515</t>
  </si>
  <si>
    <t>2025-09-30</t>
  </si>
  <si>
    <t>ORD00516</t>
  </si>
  <si>
    <t>ORD00517</t>
  </si>
  <si>
    <t>2026-01-24</t>
  </si>
  <si>
    <t>ORD00518</t>
  </si>
  <si>
    <t>2025-01-25</t>
  </si>
  <si>
    <t>ORD00519</t>
  </si>
  <si>
    <t>2025-06-12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</si>
  <si>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</si>
  <si>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</si>
  <si>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</si>
  <si>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</si>
  <si>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</si>
  <si>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</si>
  <si>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</si>
  <si>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</si>
  <si>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</si>
  <si>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</si>
  <si>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</si>
  <si>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</si>
  <si>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</si>
  <si>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</si>
  <si>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</si>
  <si>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2025-04-21</t>
  </si>
  <si>
    <t>ORD00535</t>
  </si>
  <si>
    <t>ORD00536</t>
  </si>
  <si>
    <t>2025-07-17</t>
  </si>
  <si>
    <t>ORD00537</t>
  </si>
  <si>
    <t>ORD00538</t>
  </si>
  <si>
    <t>2025-04-24</t>
  </si>
  <si>
    <t>ORD00539</t>
  </si>
  <si>
    <t>ORD00540</t>
  </si>
  <si>
    <t>ORD00541</t>
  </si>
  <si>
    <t>ORD00542</t>
  </si>
  <si>
    <t>ORD00543</t>
  </si>
  <si>
    <t>ORD00544</t>
  </si>
  <si>
    <t>ORD00545</t>
  </si>
  <si>
    <t>2025-12-07</t>
  </si>
  <si>
    <t>ORD00546</t>
  </si>
  <si>
    <t>ORD00547</t>
  </si>
  <si>
    <t>ORD00548</t>
  </si>
  <si>
    <t>ORD00549</t>
  </si>
  <si>
    <t>ORD00550</t>
  </si>
  <si>
    <t>ORD00551</t>
  </si>
  <si>
    <t>2026-03-30</t>
  </si>
  <si>
    <t>ORD00552</t>
  </si>
  <si>
    <t>ORD00553</t>
  </si>
  <si>
    <t>2025-03-31</t>
  </si>
  <si>
    <t>ORD00554</t>
  </si>
  <si>
    <t>ORD00555</t>
  </si>
  <si>
    <t>ORD00556</t>
  </si>
  <si>
    <t>2025-07-21</t>
  </si>
  <si>
    <t>ORD00557</t>
  </si>
  <si>
    <t>2025-10-25</t>
  </si>
  <si>
    <t>ORD00558</t>
  </si>
  <si>
    <t>2025-04-02</t>
  </si>
  <si>
    <t>ORD00559</t>
  </si>
  <si>
    <t>2026-05-24</t>
  </si>
  <si>
    <t>ORD00560</t>
  </si>
  <si>
    <t>ORD00561</t>
  </si>
  <si>
    <t>ORD00562</t>
  </si>
  <si>
    <t>2025-08-15</t>
  </si>
  <si>
    <t>ORD00563</t>
  </si>
  <si>
    <t>2025-05-10</t>
  </si>
  <si>
    <t>ORD00564</t>
  </si>
  <si>
    <t>2025-11-02</t>
  </si>
  <si>
    <t>ORD00565</t>
  </si>
  <si>
    <t>2025-09-07</t>
  </si>
  <si>
    <t>ORD00566</t>
  </si>
  <si>
    <t>2025-03-01</t>
  </si>
  <si>
    <t>ORD00567</t>
  </si>
  <si>
    <t>ORD00568</t>
  </si>
  <si>
    <t>ORD00569</t>
  </si>
  <si>
    <t>2025-04-04</t>
  </si>
  <si>
    <t>ORD00570</t>
  </si>
  <si>
    <t>ORD00571</t>
  </si>
  <si>
    <t>2026-06-06</t>
  </si>
  <si>
    <t>ORD00572</t>
  </si>
  <si>
    <t>ORD00573</t>
  </si>
  <si>
    <t>ORD00574</t>
  </si>
  <si>
    <t>ORD00575</t>
  </si>
  <si>
    <t>ORD00576</t>
  </si>
  <si>
    <t>ORD00577</t>
  </si>
  <si>
    <t>2025-01-16</t>
  </si>
  <si>
    <t>ORD00578</t>
  </si>
  <si>
    <t>ORD00579</t>
  </si>
  <si>
    <t>2026-05-11</t>
  </si>
  <si>
    <t>ORD00580</t>
  </si>
  <si>
    <t>ORD00581</t>
  </si>
  <si>
    <t>2026-05-14</t>
  </si>
  <si>
    <t>ORD00582</t>
  </si>
  <si>
    <t>2025-04-09</t>
  </si>
  <si>
    <t>ORD00583</t>
  </si>
  <si>
    <t>2025-10-29</t>
  </si>
  <si>
    <t>ORD00584</t>
  </si>
  <si>
    <t>ORD00585</t>
  </si>
  <si>
    <t>ORD00586</t>
  </si>
  <si>
    <t>2026-01-19</t>
  </si>
  <si>
    <t>ORD00587</t>
  </si>
  <si>
    <t>ORD00588</t>
  </si>
  <si>
    <t>2025-03-18</t>
  </si>
  <si>
    <t>ORD00589</t>
  </si>
  <si>
    <t>2025-12-16</t>
  </si>
  <si>
    <t>ORD00590</t>
  </si>
  <si>
    <t>ORD00591</t>
  </si>
  <si>
    <t>2026-06-17</t>
  </si>
  <si>
    <t>ORD00592</t>
  </si>
  <si>
    <t>ORD00593</t>
  </si>
  <si>
    <t>2025-11-23</t>
  </si>
  <si>
    <t>ORD00594</t>
  </si>
  <si>
    <t>ORD00595</t>
  </si>
  <si>
    <t>ORD00596</t>
  </si>
  <si>
    <t>ORD00597</t>
  </si>
  <si>
    <t>ORD00598</t>
  </si>
  <si>
    <t>ORD00599</t>
  </si>
  <si>
    <t>2025-02-27</t>
  </si>
  <si>
    <t>ORD00600</t>
  </si>
  <si>
    <t>ORD00601</t>
  </si>
  <si>
    <t>ORD00602</t>
  </si>
  <si>
    <t>ORD00603</t>
  </si>
  <si>
    <t>2025-01-06</t>
  </si>
  <si>
    <t>ORD00604</t>
  </si>
  <si>
    <t>2025-02-21</t>
  </si>
  <si>
    <t>ORD00605</t>
  </si>
  <si>
    <t>ORD00606</t>
  </si>
  <si>
    <t>ORD00607</t>
  </si>
  <si>
    <t>2026-05-22</t>
  </si>
  <si>
    <t>ORD00608</t>
  </si>
  <si>
    <t>2025-04-25</t>
  </si>
  <si>
    <t>ORD00609</t>
  </si>
  <si>
    <t>2026-02-04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</si>
  <si>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</si>
  <si>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</si>
  <si>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</si>
  <si>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</si>
  <si>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</si>
  <si>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</si>
  <si>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</si>
  <si>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</si>
  <si>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</si>
  <si>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</si>
  <si>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</si>
  <si>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2025-05-21</t>
  </si>
  <si>
    <t>ORD00621</t>
  </si>
  <si>
    <t>ORD00622</t>
  </si>
  <si>
    <t>ORD00623</t>
  </si>
  <si>
    <t>ORD00624</t>
  </si>
  <si>
    <t>2025-09-24</t>
  </si>
  <si>
    <t>ORD00625</t>
  </si>
  <si>
    <t>2026-01-02</t>
  </si>
  <si>
    <t>ORD00626</t>
  </si>
  <si>
    <t>2025-10-15</t>
  </si>
  <si>
    <t>ORD00627</t>
  </si>
  <si>
    <t>2025-11-27</t>
  </si>
  <si>
    <t>ORD00628</t>
  </si>
  <si>
    <t>ORD00629</t>
  </si>
  <si>
    <t>ORD00630</t>
  </si>
  <si>
    <t>2026-04-22</t>
  </si>
  <si>
    <t>ORD00631</t>
  </si>
  <si>
    <t>2025-03-28</t>
  </si>
  <si>
    <t>ORD00632</t>
  </si>
  <si>
    <t>ORD00633</t>
  </si>
  <si>
    <t>2026-04-08</t>
  </si>
  <si>
    <t>ORD00634</t>
  </si>
  <si>
    <t>2025-07-04</t>
  </si>
  <si>
    <t>ORD00635</t>
  </si>
  <si>
    <t>2026-05-20</t>
  </si>
  <si>
    <t>ORD00636</t>
  </si>
  <si>
    <t>ORD00637</t>
  </si>
  <si>
    <t>ORD00638</t>
  </si>
  <si>
    <t>ORD00639</t>
  </si>
  <si>
    <t>2025-07-30</t>
  </si>
  <si>
    <t>ORD00640</t>
  </si>
  <si>
    <t>2025-01-01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</si>
  <si>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</si>
  <si>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</si>
  <si>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</si>
  <si>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</si>
  <si>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</si>
  <si>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</si>
  <si>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</si>
  <si>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</si>
  <si>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</si>
  <si>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</si>
  <si>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2026-04-03</t>
  </si>
  <si>
    <t>ORD00651</t>
  </si>
  <si>
    <t>ORD00652</t>
  </si>
  <si>
    <t>ORD00653</t>
  </si>
  <si>
    <t>ORD00654</t>
  </si>
  <si>
    <t>ORD00655</t>
  </si>
  <si>
    <t>2025-05-31</t>
  </si>
  <si>
    <t>ORD00656</t>
  </si>
  <si>
    <t>ORD00657</t>
  </si>
  <si>
    <t>2025-06-02</t>
  </si>
  <si>
    <t>ORD00658</t>
  </si>
  <si>
    <t>2025-09-13</t>
  </si>
  <si>
    <t>ORD00659</t>
  </si>
  <si>
    <t>2025-02-10</t>
  </si>
  <si>
    <t>ORD00660</t>
  </si>
  <si>
    <t>ORD00661</t>
  </si>
  <si>
    <t>ORD00662</t>
  </si>
  <si>
    <t>ORD00663</t>
  </si>
  <si>
    <t>2025-11-15</t>
  </si>
  <si>
    <t>ORD00664</t>
  </si>
  <si>
    <t>2026-04-01</t>
  </si>
  <si>
    <t>ORD00665</t>
  </si>
  <si>
    <t>2026-03-11</t>
  </si>
  <si>
    <t>ORD00666</t>
  </si>
  <si>
    <t>ORD00667</t>
  </si>
  <si>
    <t>ORD00668</t>
  </si>
  <si>
    <t>2026-01-17</t>
  </si>
  <si>
    <t>ORD00669</t>
  </si>
  <si>
    <t>ORD00670</t>
  </si>
  <si>
    <t>2026-05-06</t>
  </si>
  <si>
    <t>ORD00671</t>
  </si>
  <si>
    <t>ORD00672</t>
  </si>
  <si>
    <t>ORD00673</t>
  </si>
  <si>
    <t>ORD00674</t>
  </si>
  <si>
    <t>ORD00675</t>
  </si>
  <si>
    <t>ORD00676</t>
  </si>
  <si>
    <t>2025-03-24</t>
  </si>
  <si>
    <t>ORD00677</t>
  </si>
  <si>
    <t>2025-07-26</t>
  </si>
  <si>
    <t>ORD00678</t>
  </si>
  <si>
    <t>2026-04-02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</si>
  <si>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</si>
  <si>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</si>
  <si>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</si>
  <si>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</si>
  <si>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</si>
  <si>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</si>
  <si>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</si>
  <si>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</si>
  <si>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</si>
  <si>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</si>
  <si>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2025-03-21</t>
  </si>
  <si>
    <t>ORD00689</t>
  </si>
  <si>
    <t>2026-01-12</t>
  </si>
  <si>
    <t>ORD00690</t>
  </si>
  <si>
    <t>ORD00691</t>
  </si>
  <si>
    <t>2025-08-13</t>
  </si>
  <si>
    <t>ORD00692</t>
  </si>
  <si>
    <t>2025-12-14</t>
  </si>
  <si>
    <t>ORD00693</t>
  </si>
  <si>
    <t>ORD00694</t>
  </si>
  <si>
    <t>2025-02-12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</si>
  <si>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</si>
  <si>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</si>
  <si>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</si>
  <si>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</si>
  <si>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</si>
  <si>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</si>
  <si>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</si>
  <si>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</si>
  <si>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</si>
  <si>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</si>
  <si>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</si>
  <si>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2026-03-21</t>
  </si>
  <si>
    <t>ORD00706</t>
  </si>
  <si>
    <t>ORD00707</t>
  </si>
  <si>
    <t>2025-03-02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</si>
  <si>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</si>
  <si>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</si>
  <si>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</si>
  <si>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</si>
  <si>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</si>
  <si>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</si>
  <si>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</si>
  <si>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</si>
  <si>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</si>
  <si>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</si>
  <si>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2025-10-03</t>
  </si>
  <si>
    <t>ORD00718</t>
  </si>
  <si>
    <t>ORD00719</t>
  </si>
  <si>
    <t>2026-03-13</t>
  </si>
  <si>
    <t>ORD00720</t>
  </si>
  <si>
    <t>2025-02-06</t>
  </si>
  <si>
    <t>ORD00721</t>
  </si>
  <si>
    <t>ORD00722</t>
  </si>
  <si>
    <t>ORD00723</t>
  </si>
  <si>
    <t>ORD00724</t>
  </si>
  <si>
    <t>ORD00725</t>
  </si>
  <si>
    <t>ORD00726</t>
  </si>
  <si>
    <t>2025-06-17</t>
  </si>
  <si>
    <t>ORD00727</t>
  </si>
  <si>
    <t>ORD00728</t>
  </si>
  <si>
    <t>ORD00729</t>
  </si>
  <si>
    <t>ORD00730</t>
  </si>
  <si>
    <t>ORD00731</t>
  </si>
  <si>
    <t>ORD00732</t>
  </si>
  <si>
    <t>ORD00733</t>
  </si>
  <si>
    <t>2025-11-07</t>
  </si>
  <si>
    <t>ORD00734</t>
  </si>
  <si>
    <t>ORD00735</t>
  </si>
  <si>
    <t>2026-04-06</t>
  </si>
  <si>
    <t>ORD00736</t>
  </si>
  <si>
    <t>ORD00737</t>
  </si>
  <si>
    <t>ORD00738</t>
  </si>
  <si>
    <t>2026-06-05</t>
  </si>
  <si>
    <t>ORD00739</t>
  </si>
  <si>
    <t>2025-05-14</t>
  </si>
  <si>
    <t>ORD00740</t>
  </si>
  <si>
    <t>ORD00741</t>
  </si>
  <si>
    <t>2025-11-11</t>
  </si>
  <si>
    <t>ORD00742</t>
  </si>
  <si>
    <t>ORD00743</t>
  </si>
  <si>
    <t>ORD00744</t>
  </si>
  <si>
    <t>ORD00745</t>
  </si>
  <si>
    <t>ORD00746</t>
  </si>
  <si>
    <t>2025-02-03</t>
  </si>
  <si>
    <t>ORD00747</t>
  </si>
  <si>
    <t>2026-05-12</t>
  </si>
  <si>
    <t>ORD00748</t>
  </si>
  <si>
    <t>ORD00749</t>
  </si>
  <si>
    <t>ORD00750</t>
  </si>
  <si>
    <t>ORD00751</t>
  </si>
  <si>
    <t>ORD00752</t>
  </si>
  <si>
    <t>2025-03-22</t>
  </si>
  <si>
    <t>ORD00753</t>
  </si>
  <si>
    <t>ORD00754</t>
  </si>
  <si>
    <t>ORD00755</t>
  </si>
  <si>
    <t>ORD00756</t>
  </si>
  <si>
    <t>2025-10-04</t>
  </si>
  <si>
    <t>ORD00757</t>
  </si>
  <si>
    <t>2025-08-07</t>
  </si>
  <si>
    <t>ORD00758</t>
  </si>
  <si>
    <t>ORD00759</t>
  </si>
  <si>
    <t>2025-09-23</t>
  </si>
  <si>
    <t>ORD00760</t>
  </si>
  <si>
    <t>2026-03-04</t>
  </si>
  <si>
    <t>ORD00761</t>
  </si>
  <si>
    <t>ORD00762</t>
  </si>
  <si>
    <t>2026-04-04</t>
  </si>
  <si>
    <t>ORD00763</t>
  </si>
  <si>
    <t>ORD00764</t>
  </si>
  <si>
    <t>ORD00765</t>
  </si>
  <si>
    <t>ORD00766</t>
  </si>
  <si>
    <t>ORD00767</t>
  </si>
  <si>
    <t>2025-11-25</t>
  </si>
  <si>
    <t>ORD00768</t>
  </si>
  <si>
    <t>ORD00769</t>
  </si>
  <si>
    <t>ORD00770</t>
  </si>
  <si>
    <t>ORD00771</t>
  </si>
  <si>
    <t>ORD00772</t>
  </si>
  <si>
    <t>ORD00773</t>
  </si>
  <si>
    <t>2026-01-16</t>
  </si>
  <si>
    <t>ORD00774</t>
  </si>
  <si>
    <t>ORD00775</t>
  </si>
  <si>
    <t>ORD00776</t>
  </si>
  <si>
    <t>ORD00777</t>
  </si>
  <si>
    <t>2025-08-02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</si>
  <si>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</si>
  <si>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</si>
  <si>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</si>
  <si>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</si>
  <si>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</si>
  <si>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</si>
  <si>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</si>
  <si>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</si>
  <si>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</si>
  <si>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</si>
  <si>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</si>
  <si>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</si>
  <si>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</si>
  <si>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</si>
  <si>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</si>
  <si>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2026-03-20</t>
  </si>
  <si>
    <t>ORD00793</t>
  </si>
  <si>
    <t>ORD00794</t>
  </si>
  <si>
    <t>ORD00795</t>
  </si>
  <si>
    <t>ORD00796</t>
  </si>
  <si>
    <t>2026-04-15</t>
  </si>
  <si>
    <t>ORD00797</t>
  </si>
  <si>
    <t>2025-08-26</t>
  </si>
  <si>
    <t>ORD00798</t>
  </si>
  <si>
    <t>ORD00799</t>
  </si>
  <si>
    <t>ORD00800</t>
  </si>
  <si>
    <t>2025-03-23</t>
  </si>
  <si>
    <t>ORD00801</t>
  </si>
  <si>
    <t>ORD00802</t>
  </si>
  <si>
    <t>ORD00803</t>
  </si>
  <si>
    <t>ORD00804</t>
  </si>
  <si>
    <t>ORD00805</t>
  </si>
  <si>
    <t>ORD00806</t>
  </si>
  <si>
    <t>ORD00807</t>
  </si>
  <si>
    <t>2025-10-12</t>
  </si>
  <si>
    <t>ORD00808</t>
  </si>
  <si>
    <t>ORD00809</t>
  </si>
  <si>
    <t>ORD00810</t>
  </si>
  <si>
    <t>ORD00811</t>
  </si>
  <si>
    <t>2026-05-25</t>
  </si>
  <si>
    <t>ORD00812</t>
  </si>
  <si>
    <t>ORD00813</t>
  </si>
  <si>
    <t>ORD00814</t>
  </si>
  <si>
    <t>ORD00815</t>
  </si>
  <si>
    <t>2026-02-27</t>
  </si>
  <si>
    <t>ORD00816</t>
  </si>
  <si>
    <t>ORD00817</t>
  </si>
  <si>
    <t>ORD00818</t>
  </si>
  <si>
    <t>ORD00819</t>
  </si>
  <si>
    <t>ORD00820</t>
  </si>
  <si>
    <t>ORD00821</t>
  </si>
  <si>
    <t>2025-11-24</t>
  </si>
  <si>
    <t>ORD00822</t>
  </si>
  <si>
    <t>ORD00823</t>
  </si>
  <si>
    <t>ORD00824</t>
  </si>
  <si>
    <t>ORD00825</t>
  </si>
  <si>
    <t>ORD00826</t>
  </si>
  <si>
    <t>ORD00827</t>
  </si>
  <si>
    <t>2026-04-29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</si>
  <si>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</si>
  <si>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</si>
  <si>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</si>
  <si>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</si>
  <si>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</si>
  <si>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</si>
  <si>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</si>
  <si>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</si>
  <si>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</si>
  <si>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</si>
  <si>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</si>
  <si>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</si>
  <si>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</si>
  <si>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</si>
  <si>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</si>
  <si>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2026-05-17</t>
  </si>
  <si>
    <t>ORD00843</t>
  </si>
  <si>
    <t>ORD00844</t>
  </si>
  <si>
    <t>ORD00845</t>
  </si>
  <si>
    <t>ORD00846</t>
  </si>
  <si>
    <t>ORD00847</t>
  </si>
  <si>
    <t>ORD00848</t>
  </si>
  <si>
    <t>ORD00849</t>
  </si>
  <si>
    <t>2025-05-05</t>
  </si>
  <si>
    <t>ORD00850</t>
  </si>
  <si>
    <t>ORD00851</t>
  </si>
  <si>
    <t>ORD00852</t>
  </si>
  <si>
    <t>ORD00853</t>
  </si>
  <si>
    <t>ORD00854</t>
  </si>
  <si>
    <t>ORD00855</t>
  </si>
  <si>
    <t>2025-04-10</t>
  </si>
  <si>
    <t>ORD00856</t>
  </si>
  <si>
    <t>ORD00857</t>
  </si>
  <si>
    <t>ORD00858</t>
  </si>
  <si>
    <t>2025-07-10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</si>
  <si>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</si>
  <si>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</si>
  <si>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</si>
  <si>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</si>
  <si>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</si>
  <si>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</si>
  <si>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</si>
  <si>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</si>
  <si>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</si>
  <si>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</si>
  <si>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</si>
  <si>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2026-06-24</t>
  </si>
  <si>
    <t>ORD00870</t>
  </si>
  <si>
    <t>2025-04-18</t>
  </si>
  <si>
    <t>ORD00871</t>
  </si>
  <si>
    <t>ORD00872</t>
  </si>
  <si>
    <t>ORD00873</t>
  </si>
  <si>
    <t>ORD00874</t>
  </si>
  <si>
    <t>ORD00875</t>
  </si>
  <si>
    <t>ORD00876</t>
  </si>
  <si>
    <t>ORD00877</t>
  </si>
  <si>
    <t>2025-07-23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</si>
  <si>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</si>
  <si>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</si>
  <si>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</si>
  <si>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</si>
  <si>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</si>
  <si>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</si>
  <si>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</si>
  <si>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</si>
  <si>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</si>
  <si>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2026-03-12</t>
  </si>
  <si>
    <t>ORD00887</t>
  </si>
  <si>
    <t>ORD00888</t>
  </si>
  <si>
    <t>2025-06-09</t>
  </si>
  <si>
    <t>ORD00889</t>
  </si>
  <si>
    <t>ORD00890</t>
  </si>
  <si>
    <t>ORD00891</t>
  </si>
  <si>
    <t>2026-06-23</t>
  </si>
  <si>
    <t>ORD00892</t>
  </si>
  <si>
    <t>ORD00893</t>
  </si>
  <si>
    <t>ORD00894</t>
  </si>
  <si>
    <t>2025-11-29</t>
  </si>
  <si>
    <t>ORD00895</t>
  </si>
  <si>
    <t>ORD00896</t>
  </si>
  <si>
    <t>2026-01-26</t>
  </si>
  <si>
    <t>ORD00897</t>
  </si>
  <si>
    <t>ORD00898</t>
  </si>
  <si>
    <t>2025-05-11</t>
  </si>
  <si>
    <t>ORD00899</t>
  </si>
  <si>
    <t>ORD00900</t>
  </si>
  <si>
    <t>2025-01-29</t>
  </si>
  <si>
    <t>ORD00901</t>
  </si>
  <si>
    <t>ORD00902</t>
  </si>
  <si>
    <t>ORD00903</t>
  </si>
  <si>
    <t>2026-06-15</t>
  </si>
  <si>
    <t>ORD00904</t>
  </si>
  <si>
    <t>ORD00905</t>
  </si>
  <si>
    <t>2026-03-31</t>
  </si>
  <si>
    <t>ORD00906</t>
  </si>
  <si>
    <t>ORD00907</t>
  </si>
  <si>
    <t>ORD00908</t>
  </si>
  <si>
    <t>ORD00909</t>
  </si>
  <si>
    <t>2025-05-29</t>
  </si>
  <si>
    <t>ORD00910</t>
  </si>
  <si>
    <t>ORD00911</t>
  </si>
  <si>
    <t>2025-03-14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</si>
  <si>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</si>
  <si>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</si>
  <si>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</si>
  <si>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</si>
  <si>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</si>
  <si>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</si>
  <si>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</si>
  <si>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</si>
  <si>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</si>
  <si>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</si>
  <si>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</si>
  <si>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</si>
  <si>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</si>
  <si>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</si>
  <si>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</si>
  <si>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</si>
  <si>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</si>
  <si>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</si>
  <si>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2025-07-08</t>
  </si>
  <si>
    <t>ORD00930</t>
  </si>
  <si>
    <t>ORD00931</t>
  </si>
  <si>
    <t>ORD00932</t>
  </si>
  <si>
    <t>ORD00933</t>
  </si>
  <si>
    <t>2025-05-02</t>
  </si>
  <si>
    <t>ORD00934</t>
  </si>
  <si>
    <t>ORD00935</t>
  </si>
  <si>
    <t>ORD00936</t>
  </si>
  <si>
    <t>ORD00937</t>
  </si>
  <si>
    <t>ORD00938</t>
  </si>
  <si>
    <t>ORD00939</t>
  </si>
  <si>
    <t>2025-02-17</t>
  </si>
  <si>
    <t>ORD00940</t>
  </si>
  <si>
    <t>ORD00941</t>
  </si>
  <si>
    <t>ORD00942</t>
  </si>
  <si>
    <t>2026-03-18</t>
  </si>
  <si>
    <t>ORD00943</t>
  </si>
  <si>
    <t>2026-01-08</t>
  </si>
  <si>
    <t>ORD00944</t>
  </si>
  <si>
    <t>ORD00945</t>
  </si>
  <si>
    <t>ORD00946</t>
  </si>
  <si>
    <t>ORD00947</t>
  </si>
  <si>
    <t>ORD00948</t>
  </si>
  <si>
    <t>2025-01-02</t>
  </si>
  <si>
    <t>ORD00949</t>
  </si>
  <si>
    <t>ORD00950</t>
  </si>
  <si>
    <t>ORD00951</t>
  </si>
  <si>
    <t>ORD00952</t>
  </si>
  <si>
    <t>ORD00953</t>
  </si>
  <si>
    <t>2025-04-14</t>
  </si>
  <si>
    <t>ORD00954</t>
  </si>
  <si>
    <t>ORD00955</t>
  </si>
  <si>
    <t>2025-09-18</t>
  </si>
  <si>
    <t>ORD00956</t>
  </si>
  <si>
    <t>ORD00957</t>
  </si>
  <si>
    <t>2025-02-26</t>
  </si>
  <si>
    <t>ORD00958</t>
  </si>
  <si>
    <t>ORD00959</t>
  </si>
  <si>
    <t>ORD00960</t>
  </si>
  <si>
    <t>ORD00961</t>
  </si>
  <si>
    <t>2025-08-19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</si>
  <si>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</si>
  <si>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</si>
  <si>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</si>
  <si>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</si>
  <si>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</si>
  <si>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</si>
  <si>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</si>
  <si>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</si>
  <si>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2026-02-03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</si>
  <si>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</si>
  <si>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</si>
  <si>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</si>
  <si>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</si>
  <si>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</si>
  <si>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</si>
  <si>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</si>
  <si>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</si>
  <si>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2026-01-25</t>
  </si>
  <si>
    <t>ORD00978</t>
  </si>
  <si>
    <t>2026-01-21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</si>
  <si>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</si>
  <si>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</si>
  <si>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</si>
  <si>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</si>
  <si>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</si>
  <si>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</si>
  <si>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</si>
  <si>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</si>
  <si>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</si>
  <si>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2025-01-28</t>
  </si>
  <si>
    <t>ORD00988</t>
  </si>
  <si>
    <t>ORD00989</t>
  </si>
  <si>
    <t>2026-03-03</t>
  </si>
  <si>
    <t>ORD00990</t>
  </si>
  <si>
    <t>ORD00991</t>
  </si>
  <si>
    <t>ORD00992</t>
  </si>
  <si>
    <t>2026-02-26</t>
  </si>
  <si>
    <t>ORD00993</t>
  </si>
  <si>
    <t>ORD00994</t>
  </si>
  <si>
    <t>2025-08-03</t>
  </si>
  <si>
    <t>ORD00995</t>
  </si>
  <si>
    <t>ORD00996</t>
  </si>
  <si>
    <t>ORD00997</t>
  </si>
  <si>
    <t>ORD00998</t>
  </si>
  <si>
    <t>ORD00999</t>
  </si>
  <si>
    <t>ORD01000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</si>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</sst>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A74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[Sales_Dashboard_Project_Dataset (1) (1).xlsx]Sales vs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vs Region'!$A$4:$A$8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'Sales vs Region'!$B$4:$B$8</c:f>
              <c:numCache>
                <c:formatCode>General</c:formatCode>
                <c:ptCount val="4"/>
                <c:pt idx="0">
                  <c:v>34064971.500000022</c:v>
                </c:pt>
                <c:pt idx="1">
                  <c:v>32499353.150000013</c:v>
                </c:pt>
                <c:pt idx="2">
                  <c:v>31742501.899999987</c:v>
                </c:pt>
                <c:pt idx="3">
                  <c:v>28162107.149999995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D-4060-ACF8-822BC25C8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6104096"/>
        <c:axId val="1216104576"/>
      </c:barChart>
      <c:catAx>
        <c:axId val="12161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4576"/>
        <c:crosses val="autoZero"/>
        <c:auto val="1"/>
        <c:lblAlgn val="ctr"/>
        <c:lblOffset val="100"/>
        <c:noMultiLvlLbl val="0"/>
      </c:catAx>
      <c:valAx>
        <c:axId val="12161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(1).xlsx]Sales vs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solidFill>
              <a:schemeClr val="tx1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vs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E0F-49DA-8DB0-205CAD6A11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E0F-49DA-8DB0-205CAD6A11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E0F-49DA-8DB0-205CAD6A1129}"/>
              </c:ext>
            </c:extLst>
          </c:dPt>
          <c:dLbls>
            <c:dLbl>
              <c:idx val="0"/>
              <c:spPr>
                <a:solidFill>
                  <a:schemeClr val="tx1"/>
                </a:solidFill>
                <a:ln>
                  <a:solidFill>
                    <a:schemeClr val="tx2"/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0F-49DA-8DB0-205CAD6A1129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0F-49DA-8DB0-205CAD6A1129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0F-49DA-8DB0-205CAD6A112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vs Category'!$A$4:$A$7</c:f>
              <c:strCache>
                <c:ptCount val="3"/>
                <c:pt idx="0">
                  <c:v>Office Supplies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vs Category'!$B$4:$B$7</c:f>
              <c:numCache>
                <c:formatCode>General</c:formatCode>
                <c:ptCount val="3"/>
                <c:pt idx="0">
                  <c:v>45197627.249999985</c:v>
                </c:pt>
                <c:pt idx="1">
                  <c:v>42713774.650000028</c:v>
                </c:pt>
                <c:pt idx="2">
                  <c:v>38557531.800000019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F-49DA-8DB0-205CAD6A11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(1).xlsx]Customer contributes!PivotTable2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contributes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contributes'!$B$3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'Customer contributes'!$A$4:$A$12</c:f>
              <c:strCache>
                <c:ptCount val="8"/>
                <c:pt idx="0">
                  <c:v>Meena</c:v>
                </c:pt>
                <c:pt idx="1">
                  <c:v>Arun</c:v>
                </c:pt>
                <c:pt idx="2">
                  <c:v>John</c:v>
                </c:pt>
                <c:pt idx="3">
                  <c:v>Vicky</c:v>
                </c:pt>
                <c:pt idx="4">
                  <c:v>Priya</c:v>
                </c:pt>
                <c:pt idx="5">
                  <c:v>Rahul</c:v>
                </c:pt>
                <c:pt idx="6">
                  <c:v>Amit</c:v>
                </c:pt>
                <c:pt idx="7">
                  <c:v>Sneha</c:v>
                </c:pt>
              </c:strCache>
            </c:strRef>
          </c:cat>
          <c:val>
            <c:numRef>
              <c:f>'Customer contributes'!$B$4:$B$12</c:f>
              <c:numCache>
                <c:formatCode>General</c:formatCode>
                <c:ptCount val="8"/>
                <c:pt idx="0">
                  <c:v>19207698.949999999</c:v>
                </c:pt>
                <c:pt idx="1">
                  <c:v>16895887.800000001</c:v>
                </c:pt>
                <c:pt idx="2">
                  <c:v>16611725.300000006</c:v>
                </c:pt>
                <c:pt idx="3">
                  <c:v>16096978.500000004</c:v>
                </c:pt>
                <c:pt idx="4">
                  <c:v>17071608.549999993</c:v>
                </c:pt>
                <c:pt idx="5">
                  <c:v>14619753.599999992</c:v>
                </c:pt>
                <c:pt idx="6">
                  <c:v>12373083.649999997</c:v>
                </c:pt>
                <c:pt idx="7">
                  <c:v>13592197.349999998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E-4DA8-A465-B50CFEADFA60}"/>
            </c:ext>
          </c:extLst>
        </c:ser>
        <c:ser>
          <c:idx val="1"/>
          <c:order val="1"/>
          <c:tx>
            <c:strRef>
              <c:f>'Customer contributes'!$C$3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'Customer contributes'!$A$4:$A$12</c:f>
              <c:strCache>
                <c:ptCount val="8"/>
                <c:pt idx="0">
                  <c:v>Meena</c:v>
                </c:pt>
                <c:pt idx="1">
                  <c:v>Arun</c:v>
                </c:pt>
                <c:pt idx="2">
                  <c:v>John</c:v>
                </c:pt>
                <c:pt idx="3">
                  <c:v>Vicky</c:v>
                </c:pt>
                <c:pt idx="4">
                  <c:v>Priya</c:v>
                </c:pt>
                <c:pt idx="5">
                  <c:v>Rahul</c:v>
                </c:pt>
                <c:pt idx="6">
                  <c:v>Amit</c:v>
                </c:pt>
                <c:pt idx="7">
                  <c:v>Sneha</c:v>
                </c:pt>
              </c:strCache>
            </c:strRef>
          </c:cat>
          <c:val>
            <c:numRef>
              <c:f>'Customer contributes'!$C$4:$C$12</c:f>
              <c:numCache>
                <c:formatCode>General</c:formatCode>
                <c:ptCount val="8"/>
                <c:pt idx="0">
                  <c:v>3331351.6300000004</c:v>
                </c:pt>
                <c:pt idx="1">
                  <c:v>2966286.9000000013</c:v>
                </c:pt>
                <c:pt idx="2">
                  <c:v>2914221.43</c:v>
                </c:pt>
                <c:pt idx="3">
                  <c:v>2911572.1999999983</c:v>
                </c:pt>
                <c:pt idx="4">
                  <c:v>2895415.1100000017</c:v>
                </c:pt>
                <c:pt idx="5">
                  <c:v>2707513.6100000008</c:v>
                </c:pt>
                <c:pt idx="6">
                  <c:v>2418150.9600000009</c:v>
                </c:pt>
                <c:pt idx="7">
                  <c:v>2262208.33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E-4DA8-A465-B50CFEADF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88141695"/>
        <c:axId val="1188142655"/>
      </c:barChart>
      <c:catAx>
        <c:axId val="118814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42655"/>
        <c:crosses val="autoZero"/>
        <c:auto val="1"/>
        <c:lblAlgn val="ctr"/>
        <c:lblOffset val="100"/>
        <c:noMultiLvlLbl val="0"/>
      </c:catAx>
      <c:valAx>
        <c:axId val="11881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4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64000">
          <a:srgbClr val="DDE7F2"/>
        </a:gs>
        <a:gs pos="0">
          <a:schemeClr val="bg1"/>
        </a:gs>
        <a:gs pos="100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</a:gradFill>
    <a:ln w="9525" cap="flat" cmpd="sng" algn="ctr">
      <a:solidFill>
        <a:schemeClr val="tx2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(1).xlsx]Retail vs Corporate!PivotTable3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</a:t>
            </a:r>
            <a:r>
              <a:rPr lang="en-IN" baseline="0"/>
              <a:t> vs Corporate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80">
              <a:fgClr>
                <a:schemeClr val="tx1"/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'Retail vs Corporate'!$B$3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A7-4E6A-ADC7-BFDFB909A0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B9-4A16-A04A-FB6553B85231}"/>
              </c:ext>
            </c:extLst>
          </c:dPt>
          <c:dLbls>
            <c:spPr>
              <a:pattFill prst="pct80">
                <a:fgClr>
                  <a:schemeClr val="tx1"/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 vs Corporate'!$A$4:$A$6</c:f>
              <c:strCache>
                <c:ptCount val="2"/>
                <c:pt idx="0">
                  <c:v>Retail</c:v>
                </c:pt>
                <c:pt idx="1">
                  <c:v>Corporate</c:v>
                </c:pt>
              </c:strCache>
            </c:strRef>
          </c:cat>
          <c:val>
            <c:numRef>
              <c:f>'Retail vs Corporate'!$B$4:$B$6</c:f>
              <c:numCache>
                <c:formatCode>General</c:formatCode>
                <c:ptCount val="2"/>
                <c:pt idx="0">
                  <c:v>66359624.75000003</c:v>
                </c:pt>
                <c:pt idx="1">
                  <c:v>60109308.950000003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7-4E6A-ADC7-BFDFB909A0A1}"/>
            </c:ext>
          </c:extLst>
        </c:ser>
        <c:ser>
          <c:idx val="1"/>
          <c:order val="1"/>
          <c:tx>
            <c:strRef>
              <c:f>'Retail vs Corporate'!$C$3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A7-4E6A-ADC7-BFDFB909A0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DA7-4E6A-ADC7-BFDFB909A0A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 vs Corporate'!$A$4:$A$6</c:f>
              <c:strCache>
                <c:ptCount val="2"/>
                <c:pt idx="0">
                  <c:v>Retail</c:v>
                </c:pt>
                <c:pt idx="1">
                  <c:v>Corporate</c:v>
                </c:pt>
              </c:strCache>
            </c:strRef>
          </c:cat>
          <c:val>
            <c:numRef>
              <c:f>'Retail vs Corporate'!$C$4:$C$6</c:f>
              <c:numCache>
                <c:formatCode>General</c:formatCode>
                <c:ptCount val="2"/>
                <c:pt idx="0">
                  <c:v>516</c:v>
                </c:pt>
                <c:pt idx="1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7-4E6A-ADC7-BFDFB909A0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(1).xlsx]HIGHEST MONTH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2">
                      <a:alpha val="99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HIGHEST</a:t>
            </a:r>
            <a:r>
              <a:rPr lang="en-IN" b="1" baseline="0"/>
              <a:t> MONTH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2">
                    <a:alpha val="99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>
                        <a:alpha val="99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'HIGHEST MONTH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'HIGHEST MONTH SALES'!$A$4:$A$16</c:f>
              <c:strCache>
                <c:ptCount val="12"/>
                <c:pt idx="0">
                  <c:v>May</c:v>
                </c:pt>
                <c:pt idx="1">
                  <c:v>March</c:v>
                </c:pt>
                <c:pt idx="2">
                  <c:v>February</c:v>
                </c:pt>
                <c:pt idx="3">
                  <c:v>April</c:v>
                </c:pt>
                <c:pt idx="4">
                  <c:v>January</c:v>
                </c:pt>
                <c:pt idx="5">
                  <c:v>June</c:v>
                </c:pt>
                <c:pt idx="6">
                  <c:v>September</c:v>
                </c:pt>
                <c:pt idx="7">
                  <c:v>December</c:v>
                </c:pt>
                <c:pt idx="8">
                  <c:v>November</c:v>
                </c:pt>
                <c:pt idx="9">
                  <c:v>October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'HIGHEST MONTH SALES'!$B$4:$B$16</c:f>
              <c:numCache>
                <c:formatCode>General</c:formatCode>
                <c:ptCount val="12"/>
                <c:pt idx="0">
                  <c:v>16263166.750000002</c:v>
                </c:pt>
                <c:pt idx="1">
                  <c:v>15028953.800000001</c:v>
                </c:pt>
                <c:pt idx="2">
                  <c:v>15001411.999999998</c:v>
                </c:pt>
                <c:pt idx="3">
                  <c:v>13676856.899999999</c:v>
                </c:pt>
                <c:pt idx="4">
                  <c:v>12739857.35</c:v>
                </c:pt>
                <c:pt idx="5">
                  <c:v>11757643.600000001</c:v>
                </c:pt>
                <c:pt idx="6">
                  <c:v>8018128.7499999981</c:v>
                </c:pt>
                <c:pt idx="7">
                  <c:v>7768906.3999999994</c:v>
                </c:pt>
                <c:pt idx="8">
                  <c:v>7052844.6000000015</c:v>
                </c:pt>
                <c:pt idx="9">
                  <c:v>6994299.8000000007</c:v>
                </c:pt>
                <c:pt idx="10">
                  <c:v>6395389.8999999985</c:v>
                </c:pt>
                <c:pt idx="11">
                  <c:v>5771473.8499999987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D-46C1-A174-FD74B8E39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886207"/>
        <c:axId val="633879967"/>
      </c:lineChart>
      <c:catAx>
        <c:axId val="6338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>
                      <a:alpha val="99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79967"/>
        <c:crosses val="autoZero"/>
        <c:auto val="1"/>
        <c:lblAlgn val="ctr"/>
        <c:lblOffset val="100"/>
        <c:noMultiLvlLbl val="0"/>
      </c:catAx>
      <c:valAx>
        <c:axId val="6338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>
                      <a:alpha val="99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8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2">
                    <a:alpha val="99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ysDot"/>
      <a:round/>
    </a:ln>
    <a:effectLst/>
  </c:spPr>
  <c:txPr>
    <a:bodyPr/>
    <a:lstStyle/>
    <a:p>
      <a:pPr>
        <a:defRPr>
          <a:ln>
            <a:solidFill>
              <a:schemeClr val="tx2">
                <a:alpha val="99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(1).xlsx]PROFITABLE BUSINESS!PivotTable4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PROFITABLE BUSINESS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'PROFITABLE BUSINESS'!$B$3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'PROFITABLE BUSINESS'!$A$4:$A$20</c:f>
              <c:multiLvlStrCache>
                <c:ptCount val="12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'PROFITABLE BUSINESS'!$B$4:$B$20</c:f>
              <c:numCache>
                <c:formatCode>General</c:formatCode>
                <c:ptCount val="12"/>
                <c:pt idx="0">
                  <c:v>1991376.5400000003</c:v>
                </c:pt>
                <c:pt idx="1">
                  <c:v>1300726.9000000001</c:v>
                </c:pt>
                <c:pt idx="2">
                  <c:v>1943104.5899999994</c:v>
                </c:pt>
                <c:pt idx="3">
                  <c:v>1874268.7800000005</c:v>
                </c:pt>
                <c:pt idx="4">
                  <c:v>2083034.7700000003</c:v>
                </c:pt>
                <c:pt idx="5">
                  <c:v>1790806.2900000003</c:v>
                </c:pt>
                <c:pt idx="6">
                  <c:v>1981047.11</c:v>
                </c:pt>
                <c:pt idx="7">
                  <c:v>1753970.1100000003</c:v>
                </c:pt>
                <c:pt idx="8">
                  <c:v>1787570.8199999998</c:v>
                </c:pt>
                <c:pt idx="9">
                  <c:v>1906669.47</c:v>
                </c:pt>
                <c:pt idx="10">
                  <c:v>1602660.0100000007</c:v>
                </c:pt>
                <c:pt idx="11">
                  <c:v>2391484.7799999998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4-404D-A0C3-6B7797F333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3910207"/>
        <c:axId val="633915487"/>
      </c:barChart>
      <c:catAx>
        <c:axId val="63391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15487"/>
        <c:crosses val="autoZero"/>
        <c:auto val="1"/>
        <c:lblAlgn val="ctr"/>
        <c:lblOffset val="100"/>
        <c:noMultiLvlLbl val="0"/>
      </c:catAx>
      <c:valAx>
        <c:axId val="633915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1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[Sales_Dashboard_Project_Dataset (1) (1).xlsx]Sales vs Region!PivotTable1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vs Region'!$A$4:$A$8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'Sales vs Region'!$B$4:$B$8</c:f>
              <c:numCache>
                <c:formatCode>General</c:formatCode>
                <c:ptCount val="4"/>
                <c:pt idx="0">
                  <c:v>34064971.500000022</c:v>
                </c:pt>
                <c:pt idx="1">
                  <c:v>32499353.150000013</c:v>
                </c:pt>
                <c:pt idx="2">
                  <c:v>31742501.899999987</c:v>
                </c:pt>
                <c:pt idx="3">
                  <c:v>28162107.149999995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4-4E22-A144-D31C709FA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6104096"/>
        <c:axId val="1216104576"/>
      </c:barChart>
      <c:catAx>
        <c:axId val="12161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4576"/>
        <c:crosses val="autoZero"/>
        <c:auto val="1"/>
        <c:lblAlgn val="ctr"/>
        <c:lblOffset val="100"/>
        <c:noMultiLvlLbl val="0"/>
      </c:catAx>
      <c:valAx>
        <c:axId val="12161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(1).xlsx]Sales vs Category!PivotTable1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VS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solidFill>
              <a:schemeClr val="tx1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solidFill>
              <a:schemeClr val="tx1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solidFill>
              <a:schemeClr val="tx1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vs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389-44CE-9861-9AC95B796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389-44CE-9861-9AC95B7963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389-44CE-9861-9AC95B796364}"/>
              </c:ext>
            </c:extLst>
          </c:dPt>
          <c:dLbls>
            <c:dLbl>
              <c:idx val="0"/>
              <c:spPr>
                <a:solidFill>
                  <a:schemeClr val="tx1"/>
                </a:solidFill>
                <a:ln>
                  <a:solidFill>
                    <a:schemeClr val="tx2"/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89-44CE-9861-9AC95B796364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89-44CE-9861-9AC95B796364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89-44CE-9861-9AC95B79636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vs Category'!$A$4:$A$7</c:f>
              <c:strCache>
                <c:ptCount val="3"/>
                <c:pt idx="0">
                  <c:v>Office Supplies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vs Category'!$B$4:$B$7</c:f>
              <c:numCache>
                <c:formatCode>General</c:formatCode>
                <c:ptCount val="3"/>
                <c:pt idx="0">
                  <c:v>45197627.249999985</c:v>
                </c:pt>
                <c:pt idx="1">
                  <c:v>42713774.650000028</c:v>
                </c:pt>
                <c:pt idx="2">
                  <c:v>38557531.800000019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89-44CE-9861-9AC95B7963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(1).xlsx]Customer contributes!PivotTable2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CUSTOMERS CONTRIBUTES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contributes'!$B$3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'Customer contributes'!$A$4:$A$12</c:f>
              <c:strCache>
                <c:ptCount val="8"/>
                <c:pt idx="0">
                  <c:v>Meena</c:v>
                </c:pt>
                <c:pt idx="1">
                  <c:v>Arun</c:v>
                </c:pt>
                <c:pt idx="2">
                  <c:v>John</c:v>
                </c:pt>
                <c:pt idx="3">
                  <c:v>Vicky</c:v>
                </c:pt>
                <c:pt idx="4">
                  <c:v>Priya</c:v>
                </c:pt>
                <c:pt idx="5">
                  <c:v>Rahul</c:v>
                </c:pt>
                <c:pt idx="6">
                  <c:v>Amit</c:v>
                </c:pt>
                <c:pt idx="7">
                  <c:v>Sneha</c:v>
                </c:pt>
              </c:strCache>
            </c:strRef>
          </c:cat>
          <c:val>
            <c:numRef>
              <c:f>'Customer contributes'!$B$4:$B$12</c:f>
              <c:numCache>
                <c:formatCode>General</c:formatCode>
                <c:ptCount val="8"/>
                <c:pt idx="0">
                  <c:v>19207698.949999999</c:v>
                </c:pt>
                <c:pt idx="1">
                  <c:v>16895887.800000001</c:v>
                </c:pt>
                <c:pt idx="2">
                  <c:v>16611725.300000006</c:v>
                </c:pt>
                <c:pt idx="3">
                  <c:v>16096978.500000004</c:v>
                </c:pt>
                <c:pt idx="4">
                  <c:v>17071608.549999993</c:v>
                </c:pt>
                <c:pt idx="5">
                  <c:v>14619753.599999992</c:v>
                </c:pt>
                <c:pt idx="6">
                  <c:v>12373083.649999997</c:v>
                </c:pt>
                <c:pt idx="7">
                  <c:v>13592197.349999998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7-4368-B95D-F88E8041DB81}"/>
            </c:ext>
          </c:extLst>
        </c:ser>
        <c:ser>
          <c:idx val="1"/>
          <c:order val="1"/>
          <c:tx>
            <c:strRef>
              <c:f>'Customer contributes'!$C$3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'Customer contributes'!$A$4:$A$12</c:f>
              <c:strCache>
                <c:ptCount val="8"/>
                <c:pt idx="0">
                  <c:v>Meena</c:v>
                </c:pt>
                <c:pt idx="1">
                  <c:v>Arun</c:v>
                </c:pt>
                <c:pt idx="2">
                  <c:v>John</c:v>
                </c:pt>
                <c:pt idx="3">
                  <c:v>Vicky</c:v>
                </c:pt>
                <c:pt idx="4">
                  <c:v>Priya</c:v>
                </c:pt>
                <c:pt idx="5">
                  <c:v>Rahul</c:v>
                </c:pt>
                <c:pt idx="6">
                  <c:v>Amit</c:v>
                </c:pt>
                <c:pt idx="7">
                  <c:v>Sneha</c:v>
                </c:pt>
              </c:strCache>
            </c:strRef>
          </c:cat>
          <c:val>
            <c:numRef>
              <c:f>'Customer contributes'!$C$4:$C$12</c:f>
              <c:numCache>
                <c:formatCode>General</c:formatCode>
                <c:ptCount val="8"/>
                <c:pt idx="0">
                  <c:v>3331351.6300000004</c:v>
                </c:pt>
                <c:pt idx="1">
                  <c:v>2966286.9000000013</c:v>
                </c:pt>
                <c:pt idx="2">
                  <c:v>2914221.43</c:v>
                </c:pt>
                <c:pt idx="3">
                  <c:v>2911572.1999999983</c:v>
                </c:pt>
                <c:pt idx="4">
                  <c:v>2895415.1100000017</c:v>
                </c:pt>
                <c:pt idx="5">
                  <c:v>2707513.6100000008</c:v>
                </c:pt>
                <c:pt idx="6">
                  <c:v>2418150.9600000009</c:v>
                </c:pt>
                <c:pt idx="7">
                  <c:v>2262208.33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C7-4368-B95D-F88E8041D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88141695"/>
        <c:axId val="1188142655"/>
      </c:barChart>
      <c:catAx>
        <c:axId val="118814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42655"/>
        <c:crosses val="autoZero"/>
        <c:auto val="1"/>
        <c:lblAlgn val="ctr"/>
        <c:lblOffset val="100"/>
        <c:noMultiLvlLbl val="0"/>
      </c:catAx>
      <c:valAx>
        <c:axId val="11881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4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64000">
          <a:srgbClr val="DDE7F2"/>
        </a:gs>
        <a:gs pos="0">
          <a:schemeClr val="bg1"/>
        </a:gs>
        <a:gs pos="100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</a:gradFill>
    <a:ln w="9525" cap="flat" cmpd="sng" algn="ctr">
      <a:solidFill>
        <a:schemeClr val="tx2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(1).xlsx]Retail vs Corporate!PivotTable3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RETAIL VS CORPORATE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80">
              <a:fgClr>
                <a:schemeClr val="tx1"/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80">
              <a:fgClr>
                <a:schemeClr val="tx1"/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80">
              <a:fgClr>
                <a:schemeClr val="tx1"/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'Retail vs Corporate'!$B$3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B6-4455-A2C0-05782799BF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B6-4455-A2C0-05782799BF3E}"/>
              </c:ext>
            </c:extLst>
          </c:dPt>
          <c:dLbls>
            <c:spPr>
              <a:pattFill prst="pct80">
                <a:fgClr>
                  <a:schemeClr val="tx1"/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 vs Corporate'!$A$4:$A$6</c:f>
              <c:strCache>
                <c:ptCount val="2"/>
                <c:pt idx="0">
                  <c:v>Retail</c:v>
                </c:pt>
                <c:pt idx="1">
                  <c:v>Corporate</c:v>
                </c:pt>
              </c:strCache>
            </c:strRef>
          </c:cat>
          <c:val>
            <c:numRef>
              <c:f>'Retail vs Corporate'!$B$4:$B$6</c:f>
              <c:numCache>
                <c:formatCode>General</c:formatCode>
                <c:ptCount val="2"/>
                <c:pt idx="0">
                  <c:v>66359624.75000003</c:v>
                </c:pt>
                <c:pt idx="1">
                  <c:v>60109308.950000003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B6-4455-A2C0-05782799BF3E}"/>
            </c:ext>
          </c:extLst>
        </c:ser>
        <c:ser>
          <c:idx val="1"/>
          <c:order val="1"/>
          <c:tx>
            <c:strRef>
              <c:f>'Retail vs Corporate'!$C$3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FB6-4455-A2C0-05782799BF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FB6-4455-A2C0-05782799BF3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'Retail vs Corporate'!$A$4:$A$6</c:f>
              <c:strCache>
                <c:ptCount val="2"/>
                <c:pt idx="0">
                  <c:v>Retail</c:v>
                </c:pt>
                <c:pt idx="1">
                  <c:v>Corporate</c:v>
                </c:pt>
              </c:strCache>
            </c:strRef>
          </c:cat>
          <c:val>
            <c:numRef>
              <c:f>'Retail vs Corporate'!$C$4:$C$6</c:f>
              <c:numCache>
                <c:formatCode>General</c:formatCode>
                <c:ptCount val="2"/>
                <c:pt idx="0">
                  <c:v>516</c:v>
                </c:pt>
                <c:pt idx="1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B6-4455-A2C0-05782799BF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(1).xlsx]HIGHEST MONTH SALES!PivotTable2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2">
                      <a:alpha val="99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HIGHEST</a:t>
            </a:r>
            <a:r>
              <a:rPr lang="en-IN" b="1" baseline="0"/>
              <a:t> MONTH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2">
                    <a:alpha val="99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tx2">
                        <a:alpha val="99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>
                        <a:alpha val="99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>
                        <a:alpha val="99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'HIGHEST MONTH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'HIGHEST MONTH SALES'!$A$4:$A$16</c:f>
              <c:strCache>
                <c:ptCount val="12"/>
                <c:pt idx="0">
                  <c:v>May</c:v>
                </c:pt>
                <c:pt idx="1">
                  <c:v>March</c:v>
                </c:pt>
                <c:pt idx="2">
                  <c:v>February</c:v>
                </c:pt>
                <c:pt idx="3">
                  <c:v>April</c:v>
                </c:pt>
                <c:pt idx="4">
                  <c:v>January</c:v>
                </c:pt>
                <c:pt idx="5">
                  <c:v>June</c:v>
                </c:pt>
                <c:pt idx="6">
                  <c:v>September</c:v>
                </c:pt>
                <c:pt idx="7">
                  <c:v>December</c:v>
                </c:pt>
                <c:pt idx="8">
                  <c:v>November</c:v>
                </c:pt>
                <c:pt idx="9">
                  <c:v>October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'HIGHEST MONTH SALES'!$B$4:$B$16</c:f>
              <c:numCache>
                <c:formatCode>General</c:formatCode>
                <c:ptCount val="12"/>
                <c:pt idx="0">
                  <c:v>16263166.750000002</c:v>
                </c:pt>
                <c:pt idx="1">
                  <c:v>15028953.800000001</c:v>
                </c:pt>
                <c:pt idx="2">
                  <c:v>15001411.999999998</c:v>
                </c:pt>
                <c:pt idx="3">
                  <c:v>13676856.899999999</c:v>
                </c:pt>
                <c:pt idx="4">
                  <c:v>12739857.35</c:v>
                </c:pt>
                <c:pt idx="5">
                  <c:v>11757643.600000001</c:v>
                </c:pt>
                <c:pt idx="6">
                  <c:v>8018128.7499999981</c:v>
                </c:pt>
                <c:pt idx="7">
                  <c:v>7768906.3999999994</c:v>
                </c:pt>
                <c:pt idx="8">
                  <c:v>7052844.6000000015</c:v>
                </c:pt>
                <c:pt idx="9">
                  <c:v>6994299.8000000007</c:v>
                </c:pt>
                <c:pt idx="10">
                  <c:v>6395389.8999999985</c:v>
                </c:pt>
                <c:pt idx="11">
                  <c:v>5771473.8499999987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3-4F33-A503-8A9377E5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886207"/>
        <c:axId val="633879967"/>
      </c:lineChart>
      <c:catAx>
        <c:axId val="6338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>
                      <a:alpha val="99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79967"/>
        <c:crosses val="autoZero"/>
        <c:auto val="1"/>
        <c:lblAlgn val="ctr"/>
        <c:lblOffset val="100"/>
        <c:noMultiLvlLbl val="0"/>
      </c:catAx>
      <c:valAx>
        <c:axId val="6338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>
                      <a:alpha val="99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8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2">
                    <a:alpha val="99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ysDot"/>
      <a:round/>
    </a:ln>
    <a:effectLst/>
  </c:spPr>
  <c:txPr>
    <a:bodyPr/>
    <a:lstStyle/>
    <a:p>
      <a:pPr>
        <a:defRPr>
          <a:ln>
            <a:solidFill>
              <a:schemeClr val="tx2">
                <a:alpha val="99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[Sales_Dashboard_Project_Dataset (1) (1).xlsx]PROFITABLE BUSINESS!PivotTable4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PROFITABLE BUSINESS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'PROFITABLE BUSINESS'!$B$3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'PROFITABLE BUSINESS'!$A$4:$A$20</c:f>
              <c:multiLvlStrCache>
                <c:ptCount val="12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'PROFITABLE BUSINESS'!$B$4:$B$20</c:f>
              <c:numCache>
                <c:formatCode>General</c:formatCode>
                <c:ptCount val="12"/>
                <c:pt idx="0">
                  <c:v>1991376.5400000003</c:v>
                </c:pt>
                <c:pt idx="1">
                  <c:v>1300726.9000000001</c:v>
                </c:pt>
                <c:pt idx="2">
                  <c:v>1943104.5899999994</c:v>
                </c:pt>
                <c:pt idx="3">
                  <c:v>1874268.7800000005</c:v>
                </c:pt>
                <c:pt idx="4">
                  <c:v>2083034.7700000003</c:v>
                </c:pt>
                <c:pt idx="5">
                  <c:v>1790806.2900000003</c:v>
                </c:pt>
                <c:pt idx="6">
                  <c:v>1981047.11</c:v>
                </c:pt>
                <c:pt idx="7">
                  <c:v>1753970.1100000003</c:v>
                </c:pt>
                <c:pt idx="8">
                  <c:v>1787570.8199999998</c:v>
                </c:pt>
                <c:pt idx="9">
                  <c:v>1906669.47</c:v>
                </c:pt>
                <c:pt idx="10">
                  <c:v>1602660.0100000007</c:v>
                </c:pt>
                <c:pt idx="11">
                  <c:v>2391484.7799999998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9-490B-9BBD-2B9FE4DE1D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3910207"/>
        <c:axId val="633915487"/>
      </c:barChart>
      <c:catAx>
        <c:axId val="63391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15487"/>
        <c:crosses val="autoZero"/>
        <c:auto val="1"/>
        <c:lblAlgn val="ctr"/>
        <c:lblOffset val="100"/>
        <c:noMultiLvlLbl val="0"/>
      </c:catAx>
      <c:valAx>
        <c:axId val="633915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1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1</xdr:row>
      <xdr:rowOff>179070</xdr:rowOff>
    </xdr:from>
    <xdr:to>
      <xdr:col>10</xdr:col>
      <xdr:colOff>426720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9B7FD-D200-79A1-04B1-15293457B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1</xdr:row>
      <xdr:rowOff>140970</xdr:rowOff>
    </xdr:from>
    <xdr:to>
      <xdr:col>10</xdr:col>
      <xdr:colOff>99060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25D1A-3E7D-CD33-085D-298FD9773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2</xdr:row>
      <xdr:rowOff>11430</xdr:rowOff>
    </xdr:from>
    <xdr:to>
      <xdr:col>11</xdr:col>
      <xdr:colOff>7620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40D58-C4B3-7018-DD34-DC7A5747D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57150</xdr:rowOff>
    </xdr:from>
    <xdr:to>
      <xdr:col>10</xdr:col>
      <xdr:colOff>556260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B4290-A515-2C18-0B71-82C048D93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10</xdr:col>
      <xdr:colOff>304800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9EC92B-512E-3407-A749-DC3FDDA1E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2</xdr:row>
      <xdr:rowOff>34290</xdr:rowOff>
    </xdr:from>
    <xdr:to>
      <xdr:col>10</xdr:col>
      <xdr:colOff>129540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35823-2FDE-5751-6AB7-94D149138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</xdr:colOff>
      <xdr:row>5</xdr:row>
      <xdr:rowOff>26670</xdr:rowOff>
    </xdr:from>
    <xdr:to>
      <xdr:col>5</xdr:col>
      <xdr:colOff>89535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90741-D028-4F55-A668-64BB9347A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251460</xdr:colOff>
      <xdr:row>5</xdr:row>
      <xdr:rowOff>36195</xdr:rowOff>
    </xdr:from>
    <xdr:to>
      <xdr:col>9</xdr:col>
      <xdr:colOff>335280</xdr:colOff>
      <xdr:row>18</xdr:row>
      <xdr:rowOff>81915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93364-3C7F-4532-B020-B2B456B2DB01}"/>
            </a:ext>
            <a:ext uri="{147F2762-F138-4A5C-976F-8EAC2B608ADB}">
              <a16:predDERef xmlns:a16="http://schemas.microsoft.com/office/drawing/2014/main" pred="{13890741-D028-4F55-A668-64BB9347A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19</xdr:row>
      <xdr:rowOff>53340</xdr:rowOff>
    </xdr:from>
    <xdr:to>
      <xdr:col>5</xdr:col>
      <xdr:colOff>76200</xdr:colOff>
      <xdr:row>33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51D777-4948-460B-938D-C4C4D710B3EE}"/>
            </a:ext>
            <a:ext uri="{147F2762-F138-4A5C-976F-8EAC2B608ADB}">
              <a16:predDERef xmlns:a16="http://schemas.microsoft.com/office/drawing/2014/main" pred="{27593364-3C7F-4532-B020-B2B456B2D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219075</xdr:colOff>
      <xdr:row>19</xdr:row>
      <xdr:rowOff>40005</xdr:rowOff>
    </xdr:from>
    <xdr:to>
      <xdr:col>9</xdr:col>
      <xdr:colOff>272415</xdr:colOff>
      <xdr:row>34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91ACFE-5CE4-4792-884A-783020F7822B}"/>
            </a:ext>
            <a:ext uri="{147F2762-F138-4A5C-976F-8EAC2B608ADB}">
              <a16:predDERef xmlns:a16="http://schemas.microsoft.com/office/drawing/2014/main" pred="{A951D777-4948-460B-938D-C4C4D710B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512445</xdr:colOff>
      <xdr:row>5</xdr:row>
      <xdr:rowOff>53341</xdr:rowOff>
    </xdr:from>
    <xdr:to>
      <xdr:col>15</xdr:col>
      <xdr:colOff>451485</xdr:colOff>
      <xdr:row>18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032784-B034-4650-B06D-836E55BF325A}"/>
            </a:ext>
            <a:ext uri="{147F2762-F138-4A5C-976F-8EAC2B608ADB}">
              <a16:predDERef xmlns:a16="http://schemas.microsoft.com/office/drawing/2014/main" pred="{9991ACFE-5CE4-4792-884A-783020F78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489585</xdr:colOff>
      <xdr:row>19</xdr:row>
      <xdr:rowOff>60960</xdr:rowOff>
    </xdr:from>
    <xdr:to>
      <xdr:col>15</xdr:col>
      <xdr:colOff>449580</xdr:colOff>
      <xdr:row>33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F3EC4F-AE07-4264-A030-692CD0C51F75}"/>
            </a:ext>
            <a:ext uri="{147F2762-F138-4A5C-976F-8EAC2B608ADB}">
              <a16:predDERef xmlns:a16="http://schemas.microsoft.com/office/drawing/2014/main" pred="{CF032784-B034-4650-B06D-836E55BF3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21</xdr:col>
      <xdr:colOff>601980</xdr:colOff>
      <xdr:row>4</xdr:row>
      <xdr:rowOff>106680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20DFBCC-457F-BE9E-FF23-C2414C3BD295}"/>
            </a:ext>
            <a:ext uri="{147F2762-F138-4A5C-976F-8EAC2B608ADB}">
              <a16:predDERef xmlns:a16="http://schemas.microsoft.com/office/drawing/2014/main" pred="{54F3EC4F-AE07-4264-A030-692CD0C51F75}"/>
            </a:ext>
          </a:extLst>
        </xdr:cNvPr>
        <xdr:cNvSpPr/>
      </xdr:nvSpPr>
      <xdr:spPr>
        <a:xfrm>
          <a:off x="0" y="0"/>
          <a:ext cx="14272260" cy="982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28575</xdr:colOff>
      <xdr:row>0</xdr:row>
      <xdr:rowOff>228600</xdr:rowOff>
    </xdr:from>
    <xdr:to>
      <xdr:col>12</xdr:col>
      <xdr:colOff>209550</xdr:colOff>
      <xdr:row>4</xdr:row>
      <xdr:rowOff>57150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EF14458-A962-BE79-5DA4-3B5CBABA7846}"/>
            </a:ext>
            <a:ext uri="{147F2762-F138-4A5C-976F-8EAC2B608ADB}">
              <a16:predDERef xmlns:a16="http://schemas.microsoft.com/office/drawing/2014/main" pred="{020DFBCC-457F-BE9E-FF23-C2414C3BD295}"/>
            </a:ext>
          </a:extLst>
        </xdr:cNvPr>
        <xdr:cNvSpPr txBox="1"/>
      </xdr:nvSpPr>
      <xdr:spPr>
        <a:xfrm>
          <a:off x="3686175" y="228600"/>
          <a:ext cx="4648200" cy="70485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</a:t>
          </a:r>
          <a:r>
            <a:rPr lang="en-IN" sz="2000" b="1"/>
            <a:t>SALES</a:t>
          </a:r>
          <a:r>
            <a:rPr lang="en-IN" sz="2000" b="1" baseline="0"/>
            <a:t> DASHBOARD</a:t>
          </a:r>
          <a:endParaRPr lang="en-IN" sz="20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" refreshedDate="46229.920550925926" createdVersion="8" refreshedVersion="8" minRefreshableVersion="3" recordCount="1000" xr:uid="{94A09835-85AF-409F-A67B-591183E8B32F}">
  <cacheSource type="worksheet">
    <worksheetSource ref="A1:P1001" sheet="SalesData"/>
  </cacheSource>
  <cacheFields count="15">
    <cacheField name="Order_ID" numFmtId="0">
      <sharedItems count="1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Order_Date" numFmtId="0">
      <sharedItems count="460">
        <s v="2026-03-14"/>
        <s v="2026-06-22"/>
        <s v="2026-04-28"/>
        <s v="2025-03-04"/>
        <s v="2025-06-03"/>
        <s v="2025-03-13"/>
        <s v="2025-03-17"/>
        <s v="2025-12-03"/>
        <s v="2026-01-15"/>
        <s v="2026-04-13"/>
        <s v="2025-07-02"/>
        <s v="2025-05-17"/>
        <s v="2025-11-16"/>
        <s v="2025-08-20"/>
        <s v="2026-02-12"/>
        <s v="2025-02-19"/>
        <s v="2025-09-04"/>
        <s v="2025-10-14"/>
        <s v="2025-08-23"/>
        <s v="2025-11-09"/>
        <s v="2025-03-08"/>
        <s v="2025-02-07"/>
        <s v="2025-01-27"/>
        <s v="2026-03-23"/>
        <s v="2025-03-19"/>
        <s v="2025-12-23"/>
        <s v="2025-12-28"/>
        <s v="2025-09-08"/>
        <s v="2026-02-06"/>
        <s v="2026-05-16"/>
        <s v="2025-11-10"/>
        <s v="2026-02-07"/>
        <s v="2025-03-27"/>
        <s v="2026-01-05"/>
        <s v="2026-05-05"/>
        <s v="2026-06-08"/>
        <s v="2026-01-01"/>
        <s v="2025-01-19"/>
        <s v="2025-04-11"/>
        <s v="2025-12-20"/>
        <s v="2025-05-23"/>
        <s v="2025-09-25"/>
        <s v="2026-03-17"/>
        <s v="2026-02-09"/>
        <s v="2025-02-04"/>
        <s v="2025-04-03"/>
        <s v="2025-12-29"/>
        <s v="2026-04-23"/>
        <s v="2025-11-20"/>
        <s v="2025-09-05"/>
        <s v="2025-08-28"/>
        <s v="2026-03-28"/>
        <s v="2026-03-29"/>
        <s v="2025-10-18"/>
        <s v="2025-02-24"/>
        <s v="2025-10-20"/>
        <s v="2025-04-13"/>
        <s v="2025-02-11"/>
        <s v="2025-03-09"/>
        <s v="2025-04-22"/>
        <s v="2026-05-01"/>
        <s v="2026-05-13"/>
        <s v="2025-10-06"/>
        <s v="2025-05-28"/>
        <s v="2026-01-29"/>
        <s v="2026-05-19"/>
        <s v="2026-05-27"/>
        <s v="2025-03-15"/>
        <s v="2026-04-14"/>
        <s v="2026-04-27"/>
        <s v="2025-01-18"/>
        <s v="2025-12-13"/>
        <s v="2025-11-14"/>
        <s v="2025-05-26"/>
        <s v="2025-10-23"/>
        <s v="2025-12-26"/>
        <s v="2025-08-17"/>
        <s v="2025-02-13"/>
        <s v="2025-12-09"/>
        <s v="2025-01-10"/>
        <s v="2025-11-26"/>
        <s v="2025-07-19"/>
        <s v="2026-05-18"/>
        <s v="2025-03-05"/>
        <s v="2026-02-11"/>
        <s v="2025-10-09"/>
        <s v="2026-05-08"/>
        <s v="2025-10-11"/>
        <s v="2026-05-07"/>
        <s v="2026-03-27"/>
        <s v="2026-06-04"/>
        <s v="2025-10-17"/>
        <s v="2025-11-28"/>
        <s v="2025-04-01"/>
        <s v="2026-05-15"/>
        <s v="2025-05-30"/>
        <s v="2026-04-24"/>
        <s v="2026-02-23"/>
        <s v="2026-03-19"/>
        <s v="2026-04-18"/>
        <s v="2025-01-22"/>
        <s v="2025-11-17"/>
        <s v="2025-07-13"/>
        <s v="2025-07-11"/>
        <s v="2025-08-22"/>
        <s v="2025-07-09"/>
        <s v="2025-05-06"/>
        <s v="2026-03-16"/>
        <s v="2026-04-10"/>
        <s v="2025-02-01"/>
        <s v="2025-08-11"/>
        <s v="2025-08-04"/>
        <s v="2025-03-30"/>
        <s v="2025-06-08"/>
        <s v="2025-06-05"/>
        <s v="2025-04-07"/>
        <s v="2025-10-16"/>
        <s v="2026-01-04"/>
        <s v="2025-11-03"/>
        <s v="2025-06-19"/>
        <s v="2025-06-26"/>
        <s v="2025-07-12"/>
        <s v="2025-11-18"/>
        <s v="2025-04-28"/>
        <s v="2025-03-07"/>
        <s v="2025-05-04"/>
        <s v="2025-01-21"/>
        <s v="2025-03-06"/>
        <s v="2025-09-11"/>
        <s v="2025-06-25"/>
        <s v="2026-05-02"/>
        <s v="2025-06-15"/>
        <s v="2025-02-09"/>
        <s v="2025-04-08"/>
        <s v="2025-10-24"/>
        <s v="2025-02-15"/>
        <s v="2025-07-25"/>
        <s v="2026-05-03"/>
        <s v="2025-02-18"/>
        <s v="2025-12-27"/>
        <s v="2026-03-25"/>
        <s v="2025-09-20"/>
        <s v="2025-01-05"/>
        <s v="2026-01-23"/>
        <s v="2026-06-12"/>
        <s v="2025-12-31"/>
        <s v="2026-03-08"/>
        <s v="2025-08-18"/>
        <s v="2025-01-13"/>
        <s v="2025-01-09"/>
        <s v="2025-04-05"/>
        <s v="2025-08-21"/>
        <s v="2025-01-11"/>
        <s v="2025-12-11"/>
        <s v="2026-02-19"/>
        <s v="2026-01-10"/>
        <s v="2025-09-28"/>
        <s v="2026-01-09"/>
        <s v="2025-02-22"/>
        <s v="2026-03-06"/>
        <s v="2025-11-19"/>
        <s v="2026-02-02"/>
        <s v="2026-04-19"/>
        <s v="2026-02-18"/>
        <s v="2026-03-07"/>
        <s v="2025-09-06"/>
        <s v="2025-08-09"/>
        <s v="2026-03-26"/>
        <s v="2025-09-12"/>
        <s v="2026-02-28"/>
        <s v="2025-01-12"/>
        <s v="2025-03-11"/>
        <s v="2026-01-28"/>
        <s v="2026-06-03"/>
        <s v="2025-05-07"/>
        <s v="2025-12-30"/>
        <s v="2025-01-08"/>
        <s v="2025-08-10"/>
        <s v="2025-04-12"/>
        <s v="2025-01-14"/>
        <s v="2026-04-26"/>
        <s v="2025-12-01"/>
        <s v="2025-09-03"/>
        <s v="2026-03-10"/>
        <s v="2026-05-04"/>
        <s v="2025-08-31"/>
        <s v="2025-01-23"/>
        <s v="2025-06-06"/>
        <s v="2025-08-24"/>
        <s v="2026-02-08"/>
        <s v="2025-02-25"/>
        <s v="2025-03-12"/>
        <s v="2025-11-21"/>
        <s v="2026-05-28"/>
        <s v="2025-04-27"/>
        <s v="2025-12-25"/>
        <s v="2025-09-29"/>
        <s v="2025-04-19"/>
        <s v="2025-02-02"/>
        <s v="2026-02-01"/>
        <s v="2026-04-11"/>
        <s v="2025-07-16"/>
        <s v="2025-06-07"/>
        <s v="2025-07-28"/>
        <s v="2025-01-20"/>
        <s v="2026-02-15"/>
        <s v="2025-02-20"/>
        <s v="2025-07-15"/>
        <s v="2026-03-22"/>
        <s v="2025-07-27"/>
        <s v="2026-01-07"/>
        <s v="2025-07-01"/>
        <s v="2025-10-07"/>
        <s v="2026-01-13"/>
        <s v="2025-12-10"/>
        <s v="2026-06-20"/>
        <s v="2025-11-01"/>
        <s v="2026-02-24"/>
        <s v="2026-06-10"/>
        <s v="2025-12-08"/>
        <s v="2026-01-06"/>
        <s v="2025-09-22"/>
        <s v="2025-03-20"/>
        <s v="2025-06-13"/>
        <s v="2025-11-04"/>
        <s v="2025-04-06"/>
        <s v="2025-06-11"/>
        <s v="2025-08-29"/>
        <s v="2025-07-05"/>
        <s v="2025-09-27"/>
        <s v="2025-03-03"/>
        <s v="2025-12-15"/>
        <s v="2026-04-30"/>
        <s v="2025-05-13"/>
        <s v="2025-08-12"/>
        <s v="2026-02-05"/>
        <s v="2025-12-06"/>
        <s v="2025-10-31"/>
        <s v="2026-05-30"/>
        <s v="2025-05-25"/>
        <s v="2025-03-16"/>
        <s v="2025-09-09"/>
        <s v="2025-04-16"/>
        <s v="2025-12-12"/>
        <s v="2025-05-01"/>
        <s v="2026-04-05"/>
        <s v="2025-06-22"/>
        <s v="2026-04-16"/>
        <s v="2026-03-02"/>
        <s v="2025-10-08"/>
        <s v="2025-11-05"/>
        <s v="2026-02-21"/>
        <s v="2025-12-18"/>
        <s v="2025-10-05"/>
        <s v="2025-06-20"/>
        <s v="2025-01-07"/>
        <s v="2025-01-31"/>
        <s v="2025-06-21"/>
        <s v="2025-08-05"/>
        <s v="2026-06-19"/>
        <s v="2025-09-17"/>
        <s v="2025-09-14"/>
        <s v="2025-12-04"/>
        <s v="2025-05-08"/>
        <s v="2026-06-25"/>
        <s v="2025-01-17"/>
        <s v="2025-03-29"/>
        <s v="2026-02-16"/>
        <s v="2026-03-05"/>
        <s v="2025-08-06"/>
        <s v="2025-06-24"/>
        <s v="2025-09-15"/>
        <s v="2025-02-08"/>
        <s v="2025-08-01"/>
        <s v="2026-04-21"/>
        <s v="2025-07-29"/>
        <s v="2026-02-25"/>
        <s v="2025-01-04"/>
        <s v="2026-06-11"/>
        <s v="2026-04-12"/>
        <s v="2026-05-09"/>
        <s v="2025-08-25"/>
        <s v="2025-05-20"/>
        <s v="2025-05-19"/>
        <s v="2026-06-21"/>
        <s v="2025-09-02"/>
        <s v="2025-12-22"/>
        <s v="2025-05-27"/>
        <s v="2025-06-23"/>
        <s v="2025-11-22"/>
        <s v="2025-09-01"/>
        <s v="2026-06-16"/>
        <s v="2025-02-28"/>
        <s v="2026-03-15"/>
        <s v="2025-12-21"/>
        <s v="2026-06-18"/>
        <s v="2025-01-26"/>
        <s v="2026-01-18"/>
        <s v="2026-04-20"/>
        <s v="2026-02-22"/>
        <s v="2025-10-01"/>
        <s v="2026-05-29"/>
        <s v="2025-11-08"/>
        <s v="2025-02-05"/>
        <s v="2025-10-27"/>
        <s v="2026-02-14"/>
        <s v="2026-02-13"/>
        <s v="2026-01-20"/>
        <s v="2025-06-10"/>
        <s v="2025-09-10"/>
        <s v="2025-08-30"/>
        <s v="2026-06-14"/>
        <s v="2025-10-10"/>
        <s v="2025-12-19"/>
        <s v="2026-03-01"/>
        <s v="2026-05-26"/>
        <s v="2026-01-14"/>
        <s v="2025-05-22"/>
        <s v="2025-01-15"/>
        <s v="2025-10-19"/>
        <s v="2025-05-12"/>
        <s v="2025-02-23"/>
        <s v="2026-05-31"/>
        <s v="2026-05-21"/>
        <s v="2026-03-09"/>
        <s v="2026-02-20"/>
        <s v="2025-04-20"/>
        <s v="2025-09-30"/>
        <s v="2026-01-24"/>
        <s v="2025-01-25"/>
        <s v="2025-06-12"/>
        <s v="2025-04-21"/>
        <s v="2025-07-17"/>
        <s v="2025-04-24"/>
        <s v="2025-12-07"/>
        <s v="2026-03-30"/>
        <s v="2025-03-31"/>
        <s v="2025-07-21"/>
        <s v="2025-10-25"/>
        <s v="2025-04-02"/>
        <s v="2026-05-24"/>
        <s v="2025-08-15"/>
        <s v="2025-05-10"/>
        <s v="2025-11-02"/>
        <s v="2025-09-07"/>
        <s v="2025-03-01"/>
        <s v="2025-04-04"/>
        <s v="2026-06-06"/>
        <s v="2025-01-16"/>
        <s v="2026-05-11"/>
        <s v="2026-05-14"/>
        <s v="2025-04-09"/>
        <s v="2025-10-29"/>
        <s v="2026-01-19"/>
        <s v="2025-03-18"/>
        <s v="2025-12-16"/>
        <s v="2026-06-17"/>
        <s v="2025-11-23"/>
        <s v="2025-02-27"/>
        <s v="2025-01-06"/>
        <s v="2025-02-21"/>
        <s v="2026-05-22"/>
        <s v="2025-04-25"/>
        <s v="2026-02-04"/>
        <s v="2025-05-21"/>
        <s v="2025-09-24"/>
        <s v="2026-01-02"/>
        <s v="2025-10-15"/>
        <s v="2025-11-27"/>
        <s v="2026-04-22"/>
        <s v="2025-03-28"/>
        <s v="2026-04-08"/>
        <s v="2025-07-04"/>
        <s v="2026-05-20"/>
        <s v="2025-07-30"/>
        <s v="2025-01-01"/>
        <s v="2026-04-03"/>
        <s v="2025-05-31"/>
        <s v="2025-06-02"/>
        <s v="2025-09-13"/>
        <s v="2025-02-10"/>
        <s v="2025-11-15"/>
        <s v="2026-04-01"/>
        <s v="2026-03-11"/>
        <s v="2026-01-17"/>
        <s v="2026-05-06"/>
        <s v="2025-03-24"/>
        <s v="2025-07-26"/>
        <s v="2026-04-02"/>
        <s v="2025-03-21"/>
        <s v="2026-01-12"/>
        <s v="2025-08-13"/>
        <s v="2025-12-14"/>
        <s v="2025-02-12"/>
        <s v="2026-03-21"/>
        <s v="2025-03-02"/>
        <s v="2025-10-03"/>
        <s v="2026-03-13"/>
        <s v="2025-02-06"/>
        <s v="2025-06-17"/>
        <s v="2025-11-07"/>
        <s v="2026-04-06"/>
        <s v="2026-06-05"/>
        <s v="2025-05-14"/>
        <s v="2025-11-11"/>
        <s v="2025-02-03"/>
        <s v="2026-05-12"/>
        <s v="2025-03-22"/>
        <s v="2025-10-04"/>
        <s v="2025-08-07"/>
        <s v="2025-09-23"/>
        <s v="2026-03-04"/>
        <s v="2026-04-04"/>
        <s v="2025-11-25"/>
        <s v="2026-01-16"/>
        <s v="2025-08-02"/>
        <s v="2026-03-20"/>
        <s v="2026-04-15"/>
        <s v="2025-08-26"/>
        <s v="2025-03-23"/>
        <s v="2025-10-12"/>
        <s v="2026-05-25"/>
        <s v="2026-02-27"/>
        <s v="2025-11-24"/>
        <s v="2026-04-29"/>
        <s v="2026-05-17"/>
        <s v="2025-05-05"/>
        <s v="2025-04-10"/>
        <s v="2025-07-10"/>
        <s v="2026-06-24"/>
        <s v="2025-04-18"/>
        <s v="2025-07-23"/>
        <s v="2026-03-12"/>
        <s v="2025-06-09"/>
        <s v="2026-06-23"/>
        <s v="2025-11-29"/>
        <s v="2026-01-26"/>
        <s v="2025-05-11"/>
        <s v="2025-01-29"/>
        <s v="2026-06-15"/>
        <s v="2026-03-31"/>
        <s v="2025-05-29"/>
        <s v="2025-03-14"/>
        <s v="2025-07-08"/>
        <s v="2025-05-02"/>
        <s v="2025-02-17"/>
        <s v="2026-03-18"/>
        <s v="2026-01-08"/>
        <s v="2025-01-02"/>
        <s v="2025-04-14"/>
        <s v="2025-09-18"/>
        <s v="2025-02-26"/>
        <s v="2025-08-19"/>
        <s v="2026-02-03"/>
        <s v="2026-01-25"/>
        <s v="2026-01-21"/>
        <s v="2025-01-28"/>
        <s v="2026-03-03"/>
        <s v="2026-02-26"/>
        <s v="2025-08-03"/>
      </sharedItems>
    </cacheField>
    <cacheField name="Region" numFmtId="0">
      <sharedItems count="4">
        <s v="East"/>
        <s v="South"/>
        <s v="North"/>
        <s v="West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Furniture"/>
        <s v="Electronics"/>
        <s v="Office Supplies"/>
      </sharedItems>
    </cacheField>
    <cacheField name="Sub_Category" numFmtId="0">
      <sharedItems/>
    </cacheField>
    <cacheField name="Product" numFmtId="0">
      <sharedItems/>
    </cacheField>
    <cacheField name="Salesperson" numFmtId="0">
      <sharedItems count="8">
        <s v="John"/>
        <s v="Priya"/>
        <s v="Arun"/>
        <s v="Vicky"/>
        <s v="Meena"/>
        <s v="Sneha"/>
        <s v="Amit"/>
        <s v="Rahul"/>
      </sharedItems>
    </cacheField>
    <cacheField name="Customer_Type" numFmtId="0">
      <sharedItems count="2">
        <s v="Retail"/>
        <s v="Corporat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11" maxValue="49926"/>
    </cacheField>
    <cacheField name="Discount_%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619.20000000000005" maxValue="496740"/>
    </cacheField>
    <cacheField name="Profit" numFmtId="0">
      <sharedItems containsSemiMixedTypes="0" containsString="0" containsNumber="1" minValue="74.66" maxValue="110809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" refreshedDate="46229.955008449077" createdVersion="8" refreshedVersion="8" minRefreshableVersion="3" recordCount="1000" xr:uid="{C4F22F45-1140-4518-8FE3-1C1F5E96887E}">
  <cacheSource type="worksheet">
    <worksheetSource name="Table1"/>
  </cacheSource>
  <cacheFields count="16">
    <cacheField name="Order_ID" numFmtId="0">
      <sharedItems/>
    </cacheField>
    <cacheField name="Order_Date" numFmtId="0">
      <sharedItems/>
    </cacheField>
    <cacheField name="Months" numFmtId="0">
      <sharedItems count="12">
        <s v="March"/>
        <s v="June"/>
        <s v="April"/>
        <s v="December"/>
        <s v="January"/>
        <s v="July"/>
        <s v="May"/>
        <s v="November"/>
        <s v="August"/>
        <s v="February"/>
        <s v="September"/>
        <s v="October"/>
      </sharedItems>
    </cacheField>
    <cacheField name="Region" numFmtId="0">
      <sharedItems count="4">
        <s v="East"/>
        <s v="South"/>
        <s v="North"/>
        <s v="West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Furniture"/>
        <s v="Electronics"/>
        <s v="Office Supplies"/>
      </sharedItems>
    </cacheField>
    <cacheField name="Sub_Category" numFmtId="0">
      <sharedItems/>
    </cacheField>
    <cacheField name="Product" numFmtId="0">
      <sharedItems/>
    </cacheField>
    <cacheField name="Salesperson" numFmtId="0">
      <sharedItems/>
    </cacheField>
    <cacheField name="Customer_Type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11" maxValue="49926"/>
    </cacheField>
    <cacheField name="Discount_%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619.20000000000005" maxValue="496740"/>
    </cacheField>
    <cacheField name="Profit" numFmtId="0">
      <sharedItems containsSemiMixedTypes="0" containsString="0" containsNumber="1" minValue="74.66" maxValue="110809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West Bengal"/>
    <s v="Kolkata"/>
    <x v="0"/>
    <s v="Desk"/>
    <s v="Desk"/>
    <x v="0"/>
    <x v="0"/>
    <n v="5"/>
    <n v="13522"/>
    <n v="20"/>
    <n v="54088"/>
    <n v="16143.42"/>
  </r>
  <r>
    <x v="1"/>
    <x v="1"/>
    <x v="0"/>
    <s v="Odisha"/>
    <s v="Bhubaneswar"/>
    <x v="1"/>
    <s v="Keyboard"/>
    <s v="Keyboard"/>
    <x v="1"/>
    <x v="1"/>
    <n v="1"/>
    <n v="20264"/>
    <n v="10"/>
    <n v="18237.599999999999"/>
    <n v="2102.85"/>
  </r>
  <r>
    <x v="2"/>
    <x v="2"/>
    <x v="1"/>
    <s v="Tamil Nadu"/>
    <s v="Chennai"/>
    <x v="2"/>
    <s v="Notebook"/>
    <s v="Notebook"/>
    <x v="2"/>
    <x v="1"/>
    <n v="8"/>
    <n v="41480"/>
    <n v="15"/>
    <n v="282064"/>
    <n v="58609.78"/>
  </r>
  <r>
    <x v="3"/>
    <x v="3"/>
    <x v="1"/>
    <s v="Karnataka"/>
    <s v="Bengaluru"/>
    <x v="0"/>
    <s v="Chair"/>
    <s v="Chair"/>
    <x v="3"/>
    <x v="1"/>
    <n v="5"/>
    <n v="10025"/>
    <n v="0"/>
    <n v="50125"/>
    <n v="13472.28"/>
  </r>
  <r>
    <x v="4"/>
    <x v="4"/>
    <x v="0"/>
    <s v="West Bengal"/>
    <s v="Kolkata"/>
    <x v="1"/>
    <s v="Monitor"/>
    <s v="Monitor"/>
    <x v="4"/>
    <x v="0"/>
    <n v="7"/>
    <n v="45689"/>
    <n v="10"/>
    <n v="287840.7"/>
    <n v="62002.3"/>
  </r>
  <r>
    <x v="5"/>
    <x v="5"/>
    <x v="2"/>
    <s v="Chandigarh"/>
    <s v="Chandigarh"/>
    <x v="2"/>
    <s v="Stapler"/>
    <s v="Stapler"/>
    <x v="1"/>
    <x v="1"/>
    <n v="3"/>
    <n v="29946"/>
    <n v="20"/>
    <n v="71870.399999999994"/>
    <n v="19526.98"/>
  </r>
  <r>
    <x v="6"/>
    <x v="6"/>
    <x v="1"/>
    <s v="Tamil Nadu"/>
    <s v="Chennai"/>
    <x v="1"/>
    <s v="Keyboard"/>
    <s v="Keyboard"/>
    <x v="4"/>
    <x v="1"/>
    <n v="9"/>
    <n v="6202"/>
    <n v="5"/>
    <n v="53027.1"/>
    <n v="7495.55"/>
  </r>
  <r>
    <x v="7"/>
    <x v="7"/>
    <x v="3"/>
    <s v="Maharashtra"/>
    <s v="Mumbai"/>
    <x v="0"/>
    <s v="Table"/>
    <s v="Table"/>
    <x v="1"/>
    <x v="0"/>
    <n v="10"/>
    <n v="9645"/>
    <n v="5"/>
    <n v="91627.5"/>
    <n v="8113.11"/>
  </r>
  <r>
    <x v="8"/>
    <x v="8"/>
    <x v="2"/>
    <s v="Chandigarh"/>
    <s v="Chandigarh"/>
    <x v="0"/>
    <s v="Table"/>
    <s v="Table"/>
    <x v="4"/>
    <x v="1"/>
    <n v="9"/>
    <n v="19370"/>
    <n v="15"/>
    <n v="148180.5"/>
    <n v="25791.25"/>
  </r>
  <r>
    <x v="9"/>
    <x v="9"/>
    <x v="1"/>
    <s v="Tamil Nadu"/>
    <s v="Chennai"/>
    <x v="1"/>
    <s v="Keyboard"/>
    <s v="Keyboard"/>
    <x v="2"/>
    <x v="0"/>
    <n v="2"/>
    <n v="10526"/>
    <n v="5"/>
    <n v="19999.400000000001"/>
    <n v="4346.72"/>
  </r>
  <r>
    <x v="10"/>
    <x v="10"/>
    <x v="0"/>
    <s v="West Bengal"/>
    <s v="Kolkata"/>
    <x v="1"/>
    <s v="Mobile"/>
    <s v="Mobile"/>
    <x v="5"/>
    <x v="0"/>
    <n v="1"/>
    <n v="45026"/>
    <n v="15"/>
    <n v="38272.1"/>
    <n v="2364.58"/>
  </r>
  <r>
    <x v="11"/>
    <x v="11"/>
    <x v="0"/>
    <s v="West Bengal"/>
    <s v="Kolkata"/>
    <x v="2"/>
    <s v="Printer Paper"/>
    <s v="Printer Paper"/>
    <x v="5"/>
    <x v="1"/>
    <n v="3"/>
    <n v="3772"/>
    <n v="20"/>
    <n v="9052.7999999999993"/>
    <n v="516.09"/>
  </r>
  <r>
    <x v="12"/>
    <x v="12"/>
    <x v="0"/>
    <s v="Odisha"/>
    <s v="Bhubaneswar"/>
    <x v="0"/>
    <s v="Table"/>
    <s v="Table"/>
    <x v="5"/>
    <x v="1"/>
    <n v="6"/>
    <n v="15547"/>
    <n v="20"/>
    <n v="74625.600000000006"/>
    <n v="17825.400000000001"/>
  </r>
  <r>
    <x v="13"/>
    <x v="13"/>
    <x v="1"/>
    <s v="Tamil Nadu"/>
    <s v="Chennai"/>
    <x v="2"/>
    <s v="Stapler"/>
    <s v="Stapler"/>
    <x v="2"/>
    <x v="0"/>
    <n v="10"/>
    <n v="49801"/>
    <n v="10"/>
    <n v="448209"/>
    <n v="24558.39"/>
  </r>
  <r>
    <x v="14"/>
    <x v="14"/>
    <x v="2"/>
    <s v="Chandigarh"/>
    <s v="Chandigarh"/>
    <x v="0"/>
    <s v="Sofa"/>
    <s v="Sofa"/>
    <x v="0"/>
    <x v="1"/>
    <n v="9"/>
    <n v="5998"/>
    <n v="0"/>
    <n v="53982"/>
    <n v="9859.89"/>
  </r>
  <r>
    <x v="15"/>
    <x v="15"/>
    <x v="3"/>
    <s v="Gujarat"/>
    <s v="Ahmedabad"/>
    <x v="0"/>
    <s v="Chair"/>
    <s v="Chair"/>
    <x v="1"/>
    <x v="1"/>
    <n v="4"/>
    <n v="23832"/>
    <n v="5"/>
    <n v="90561.600000000006"/>
    <n v="20982.720000000001"/>
  </r>
  <r>
    <x v="16"/>
    <x v="16"/>
    <x v="0"/>
    <s v="Odisha"/>
    <s v="Bhubaneswar"/>
    <x v="2"/>
    <s v="Notebook"/>
    <s v="Notebook"/>
    <x v="3"/>
    <x v="0"/>
    <n v="5"/>
    <n v="36646"/>
    <n v="15"/>
    <n v="155745.5"/>
    <n v="25189.03"/>
  </r>
  <r>
    <x v="17"/>
    <x v="17"/>
    <x v="3"/>
    <s v="Gujarat"/>
    <s v="Ahmedabad"/>
    <x v="2"/>
    <s v="Printer Paper"/>
    <s v="Printer Paper"/>
    <x v="2"/>
    <x v="0"/>
    <n v="4"/>
    <n v="8037"/>
    <n v="15"/>
    <n v="27325.8"/>
    <n v="2472.23"/>
  </r>
  <r>
    <x v="18"/>
    <x v="18"/>
    <x v="0"/>
    <s v="West Bengal"/>
    <s v="Kolkata"/>
    <x v="0"/>
    <s v="Desk"/>
    <s v="Desk"/>
    <x v="6"/>
    <x v="0"/>
    <n v="4"/>
    <n v="38957"/>
    <n v="20"/>
    <n v="124662.39999999999"/>
    <n v="35285.79"/>
  </r>
  <r>
    <x v="19"/>
    <x v="19"/>
    <x v="3"/>
    <s v="Maharashtra"/>
    <s v="Mumbai"/>
    <x v="2"/>
    <s v="Stapler"/>
    <s v="Stapler"/>
    <x v="7"/>
    <x v="1"/>
    <n v="5"/>
    <n v="48927"/>
    <n v="15"/>
    <n v="207939.75"/>
    <n v="13285.96"/>
  </r>
  <r>
    <x v="20"/>
    <x v="20"/>
    <x v="1"/>
    <s v="Karnataka"/>
    <s v="Bengaluru"/>
    <x v="1"/>
    <s v="Mobile"/>
    <s v="Mobile"/>
    <x v="4"/>
    <x v="1"/>
    <n v="7"/>
    <n v="14880"/>
    <n v="20"/>
    <n v="83328"/>
    <n v="24569.3"/>
  </r>
  <r>
    <x v="21"/>
    <x v="21"/>
    <x v="2"/>
    <s v="Delhi"/>
    <s v="Delhi"/>
    <x v="1"/>
    <s v="Keyboard"/>
    <s v="Keyboard"/>
    <x v="1"/>
    <x v="0"/>
    <n v="7"/>
    <n v="46371"/>
    <n v="20"/>
    <n v="259677.6"/>
    <n v="33296.39"/>
  </r>
  <r>
    <x v="22"/>
    <x v="22"/>
    <x v="1"/>
    <s v="Karnataka"/>
    <s v="Bengaluru"/>
    <x v="0"/>
    <s v="Table"/>
    <s v="Table"/>
    <x v="5"/>
    <x v="0"/>
    <n v="4"/>
    <n v="23551"/>
    <n v="20"/>
    <n v="75363.199999999997"/>
    <n v="19970.16"/>
  </r>
  <r>
    <x v="23"/>
    <x v="23"/>
    <x v="1"/>
    <s v="Karnataka"/>
    <s v="Bengaluru"/>
    <x v="0"/>
    <s v="Sofa"/>
    <s v="Sofa"/>
    <x v="2"/>
    <x v="1"/>
    <n v="5"/>
    <n v="48652"/>
    <n v="5"/>
    <n v="231097"/>
    <n v="12300.41"/>
  </r>
  <r>
    <x v="24"/>
    <x v="24"/>
    <x v="0"/>
    <s v="Odisha"/>
    <s v="Bhubaneswar"/>
    <x v="2"/>
    <s v="Stapler"/>
    <s v="Stapler"/>
    <x v="0"/>
    <x v="0"/>
    <n v="8"/>
    <n v="27081"/>
    <n v="10"/>
    <n v="194983.2"/>
    <n v="10347.209999999999"/>
  </r>
  <r>
    <x v="25"/>
    <x v="25"/>
    <x v="2"/>
    <s v="Delhi"/>
    <s v="Delhi"/>
    <x v="1"/>
    <s v="Laptop"/>
    <s v="Laptop"/>
    <x v="0"/>
    <x v="0"/>
    <n v="1"/>
    <n v="47593"/>
    <n v="0"/>
    <n v="47593"/>
    <n v="10682.82"/>
  </r>
  <r>
    <x v="26"/>
    <x v="26"/>
    <x v="0"/>
    <s v="Odisha"/>
    <s v="Bhubaneswar"/>
    <x v="2"/>
    <s v="Notebook"/>
    <s v="Notebook"/>
    <x v="7"/>
    <x v="1"/>
    <n v="9"/>
    <n v="3206"/>
    <n v="10"/>
    <n v="25968.6"/>
    <n v="2071.77"/>
  </r>
  <r>
    <x v="27"/>
    <x v="27"/>
    <x v="0"/>
    <s v="Odisha"/>
    <s v="Bhubaneswar"/>
    <x v="0"/>
    <s v="Table"/>
    <s v="Table"/>
    <x v="4"/>
    <x v="1"/>
    <n v="10"/>
    <n v="8240"/>
    <n v="10"/>
    <n v="74160"/>
    <n v="19548.72"/>
  </r>
  <r>
    <x v="28"/>
    <x v="28"/>
    <x v="3"/>
    <s v="Gujarat"/>
    <s v="Ahmedabad"/>
    <x v="2"/>
    <s v="Pen"/>
    <s v="Pen"/>
    <x v="2"/>
    <x v="0"/>
    <n v="3"/>
    <n v="46763"/>
    <n v="10"/>
    <n v="126260.1"/>
    <n v="16446.939999999999"/>
  </r>
  <r>
    <x v="29"/>
    <x v="29"/>
    <x v="1"/>
    <s v="Karnataka"/>
    <s v="Bengaluru"/>
    <x v="1"/>
    <s v="Monitor"/>
    <s v="Monitor"/>
    <x v="6"/>
    <x v="0"/>
    <n v="3"/>
    <n v="12521"/>
    <n v="20"/>
    <n v="30050.400000000001"/>
    <n v="6938.89"/>
  </r>
  <r>
    <x v="30"/>
    <x v="30"/>
    <x v="2"/>
    <s v="Chandigarh"/>
    <s v="Chandigarh"/>
    <x v="2"/>
    <s v="Pen"/>
    <s v="Pen"/>
    <x v="2"/>
    <x v="1"/>
    <n v="9"/>
    <n v="28366"/>
    <n v="5"/>
    <n v="242529.3"/>
    <n v="22643.39"/>
  </r>
  <r>
    <x v="31"/>
    <x v="31"/>
    <x v="3"/>
    <s v="Gujarat"/>
    <s v="Ahmedabad"/>
    <x v="2"/>
    <s v="Pen"/>
    <s v="Pen"/>
    <x v="4"/>
    <x v="1"/>
    <n v="1"/>
    <n v="1739"/>
    <n v="10"/>
    <n v="1565.1"/>
    <n v="376.59"/>
  </r>
  <r>
    <x v="32"/>
    <x v="32"/>
    <x v="3"/>
    <s v="Gujarat"/>
    <s v="Ahmedabad"/>
    <x v="1"/>
    <s v="Keyboard"/>
    <s v="Keyboard"/>
    <x v="0"/>
    <x v="0"/>
    <n v="8"/>
    <n v="31189"/>
    <n v="5"/>
    <n v="237036.4"/>
    <n v="52120.56"/>
  </r>
  <r>
    <x v="33"/>
    <x v="23"/>
    <x v="0"/>
    <s v="Odisha"/>
    <s v="Bhubaneswar"/>
    <x v="1"/>
    <s v="Laptop"/>
    <s v="Laptop"/>
    <x v="3"/>
    <x v="0"/>
    <n v="7"/>
    <n v="42270"/>
    <n v="5"/>
    <n v="281095.5"/>
    <n v="26307.5"/>
  </r>
  <r>
    <x v="34"/>
    <x v="33"/>
    <x v="2"/>
    <s v="Delhi"/>
    <s v="Delhi"/>
    <x v="2"/>
    <s v="Stapler"/>
    <s v="Stapler"/>
    <x v="1"/>
    <x v="0"/>
    <n v="4"/>
    <n v="11901"/>
    <n v="15"/>
    <n v="40463.4"/>
    <n v="3018.6"/>
  </r>
  <r>
    <x v="35"/>
    <x v="34"/>
    <x v="1"/>
    <s v="Tamil Nadu"/>
    <s v="Chennai"/>
    <x v="2"/>
    <s v="Stapler"/>
    <s v="Stapler"/>
    <x v="4"/>
    <x v="1"/>
    <n v="4"/>
    <n v="43229"/>
    <n v="20"/>
    <n v="138332.79999999999"/>
    <n v="25459.99"/>
  </r>
  <r>
    <x v="36"/>
    <x v="35"/>
    <x v="2"/>
    <s v="Delhi"/>
    <s v="Delhi"/>
    <x v="0"/>
    <s v="Table"/>
    <s v="Table"/>
    <x v="1"/>
    <x v="1"/>
    <n v="8"/>
    <n v="42043"/>
    <n v="10"/>
    <n v="302709.59999999998"/>
    <n v="77880.509999999995"/>
  </r>
  <r>
    <x v="37"/>
    <x v="36"/>
    <x v="1"/>
    <s v="Tamil Nadu"/>
    <s v="Chennai"/>
    <x v="2"/>
    <s v="Pen"/>
    <s v="Pen"/>
    <x v="7"/>
    <x v="1"/>
    <n v="7"/>
    <n v="2360"/>
    <n v="15"/>
    <n v="14042"/>
    <n v="780.95"/>
  </r>
  <r>
    <x v="38"/>
    <x v="37"/>
    <x v="0"/>
    <s v="Odisha"/>
    <s v="Bhubaneswar"/>
    <x v="1"/>
    <s v="Monitor"/>
    <s v="Monitor"/>
    <x v="4"/>
    <x v="1"/>
    <n v="10"/>
    <n v="18452"/>
    <n v="20"/>
    <n v="147616"/>
    <n v="7947.81"/>
  </r>
  <r>
    <x v="39"/>
    <x v="38"/>
    <x v="1"/>
    <s v="Tamil Nadu"/>
    <s v="Chennai"/>
    <x v="1"/>
    <s v="Laptop"/>
    <s v="Laptop"/>
    <x v="7"/>
    <x v="1"/>
    <n v="3"/>
    <n v="34769"/>
    <n v="10"/>
    <n v="93876.3"/>
    <n v="18997.04"/>
  </r>
  <r>
    <x v="40"/>
    <x v="39"/>
    <x v="2"/>
    <s v="Delhi"/>
    <s v="Delhi"/>
    <x v="2"/>
    <s v="Pen"/>
    <s v="Pen"/>
    <x v="4"/>
    <x v="1"/>
    <n v="5"/>
    <n v="33532"/>
    <n v="0"/>
    <n v="167660"/>
    <n v="45857.71"/>
  </r>
  <r>
    <x v="41"/>
    <x v="40"/>
    <x v="2"/>
    <s v="Chandigarh"/>
    <s v="Chandigarh"/>
    <x v="0"/>
    <s v="Chair"/>
    <s v="Chair"/>
    <x v="6"/>
    <x v="1"/>
    <n v="4"/>
    <n v="48531"/>
    <n v="5"/>
    <n v="184417.8"/>
    <n v="38788.660000000003"/>
  </r>
  <r>
    <x v="42"/>
    <x v="41"/>
    <x v="2"/>
    <s v="Chandigarh"/>
    <s v="Chandigarh"/>
    <x v="2"/>
    <s v="Pen"/>
    <s v="Pen"/>
    <x v="4"/>
    <x v="0"/>
    <n v="2"/>
    <n v="40674"/>
    <n v="0"/>
    <n v="81348"/>
    <n v="12627.58"/>
  </r>
  <r>
    <x v="43"/>
    <x v="38"/>
    <x v="0"/>
    <s v="West Bengal"/>
    <s v="Kolkata"/>
    <x v="1"/>
    <s v="Laptop"/>
    <s v="Laptop"/>
    <x v="1"/>
    <x v="0"/>
    <n v="6"/>
    <n v="3754"/>
    <n v="0"/>
    <n v="22524"/>
    <n v="1433.94"/>
  </r>
  <r>
    <x v="44"/>
    <x v="42"/>
    <x v="0"/>
    <s v="Odisha"/>
    <s v="Bhubaneswar"/>
    <x v="1"/>
    <s v="Laptop"/>
    <s v="Laptop"/>
    <x v="0"/>
    <x v="1"/>
    <n v="3"/>
    <n v="6847"/>
    <n v="20"/>
    <n v="16432.8"/>
    <n v="3247.7"/>
  </r>
  <r>
    <x v="45"/>
    <x v="43"/>
    <x v="3"/>
    <s v="Maharashtra"/>
    <s v="Mumbai"/>
    <x v="2"/>
    <s v="Pen"/>
    <s v="Pen"/>
    <x v="7"/>
    <x v="0"/>
    <n v="10"/>
    <n v="2029"/>
    <n v="0"/>
    <n v="20290"/>
    <n v="1588.73"/>
  </r>
  <r>
    <x v="46"/>
    <x v="44"/>
    <x v="3"/>
    <s v="Gujarat"/>
    <s v="Ahmedabad"/>
    <x v="2"/>
    <s v="Stapler"/>
    <s v="Stapler"/>
    <x v="5"/>
    <x v="0"/>
    <n v="9"/>
    <n v="26964"/>
    <n v="15"/>
    <n v="206274.6"/>
    <n v="60126.65"/>
  </r>
  <r>
    <x v="47"/>
    <x v="45"/>
    <x v="3"/>
    <s v="Gujarat"/>
    <s v="Ahmedabad"/>
    <x v="2"/>
    <s v="Stapler"/>
    <s v="Stapler"/>
    <x v="3"/>
    <x v="0"/>
    <n v="5"/>
    <n v="38965"/>
    <n v="0"/>
    <n v="194825"/>
    <n v="47770.21"/>
  </r>
  <r>
    <x v="48"/>
    <x v="46"/>
    <x v="1"/>
    <s v="Karnataka"/>
    <s v="Bengaluru"/>
    <x v="1"/>
    <s v="Laptop"/>
    <s v="Laptop"/>
    <x v="5"/>
    <x v="0"/>
    <n v="7"/>
    <n v="13132"/>
    <n v="0"/>
    <n v="91924"/>
    <n v="24922.59"/>
  </r>
  <r>
    <x v="49"/>
    <x v="47"/>
    <x v="0"/>
    <s v="Odisha"/>
    <s v="Bhubaneswar"/>
    <x v="0"/>
    <s v="Chair"/>
    <s v="Chair"/>
    <x v="5"/>
    <x v="0"/>
    <n v="10"/>
    <n v="20344"/>
    <n v="0"/>
    <n v="203440"/>
    <n v="49381.87"/>
  </r>
  <r>
    <x v="50"/>
    <x v="48"/>
    <x v="1"/>
    <s v="Karnataka"/>
    <s v="Bengaluru"/>
    <x v="0"/>
    <s v="Chair"/>
    <s v="Chair"/>
    <x v="2"/>
    <x v="1"/>
    <n v="1"/>
    <n v="23291"/>
    <n v="10"/>
    <n v="20961.900000000001"/>
    <n v="2407.2199999999998"/>
  </r>
  <r>
    <x v="51"/>
    <x v="49"/>
    <x v="1"/>
    <s v="Karnataka"/>
    <s v="Bengaluru"/>
    <x v="2"/>
    <s v="Pen"/>
    <s v="Pen"/>
    <x v="2"/>
    <x v="0"/>
    <n v="6"/>
    <n v="20087"/>
    <n v="10"/>
    <n v="108469.8"/>
    <n v="22305.84"/>
  </r>
  <r>
    <x v="52"/>
    <x v="50"/>
    <x v="2"/>
    <s v="Chandigarh"/>
    <s v="Chandigarh"/>
    <x v="2"/>
    <s v="Pen"/>
    <s v="Pen"/>
    <x v="5"/>
    <x v="1"/>
    <n v="10"/>
    <n v="19029"/>
    <n v="15"/>
    <n v="161746.5"/>
    <n v="22374.79"/>
  </r>
  <r>
    <x v="53"/>
    <x v="51"/>
    <x v="1"/>
    <s v="Tamil Nadu"/>
    <s v="Chennai"/>
    <x v="0"/>
    <s v="Table"/>
    <s v="Table"/>
    <x v="6"/>
    <x v="0"/>
    <n v="3"/>
    <n v="35973"/>
    <n v="0"/>
    <n v="107919"/>
    <n v="20849.080000000002"/>
  </r>
  <r>
    <x v="54"/>
    <x v="52"/>
    <x v="1"/>
    <s v="Tamil Nadu"/>
    <s v="Chennai"/>
    <x v="0"/>
    <s v="Desk"/>
    <s v="Desk"/>
    <x v="6"/>
    <x v="1"/>
    <n v="6"/>
    <n v="33954"/>
    <n v="0"/>
    <n v="203724"/>
    <n v="28133.85"/>
  </r>
  <r>
    <x v="55"/>
    <x v="3"/>
    <x v="2"/>
    <s v="Delhi"/>
    <s v="Delhi"/>
    <x v="2"/>
    <s v="Notebook"/>
    <s v="Notebook"/>
    <x v="7"/>
    <x v="1"/>
    <n v="4"/>
    <n v="3214"/>
    <n v="15"/>
    <n v="10927.6"/>
    <n v="1866.54"/>
  </r>
  <r>
    <x v="56"/>
    <x v="53"/>
    <x v="2"/>
    <s v="Chandigarh"/>
    <s v="Chandigarh"/>
    <x v="2"/>
    <s v="Stapler"/>
    <s v="Stapler"/>
    <x v="3"/>
    <x v="1"/>
    <n v="5"/>
    <n v="11499"/>
    <n v="20"/>
    <n v="45996"/>
    <n v="12032.41"/>
  </r>
  <r>
    <x v="57"/>
    <x v="54"/>
    <x v="0"/>
    <s v="Odisha"/>
    <s v="Bhubaneswar"/>
    <x v="0"/>
    <s v="Chair"/>
    <s v="Chair"/>
    <x v="7"/>
    <x v="0"/>
    <n v="2"/>
    <n v="22173"/>
    <n v="0"/>
    <n v="44346"/>
    <n v="8066.34"/>
  </r>
  <r>
    <x v="58"/>
    <x v="55"/>
    <x v="1"/>
    <s v="Karnataka"/>
    <s v="Bengaluru"/>
    <x v="0"/>
    <s v="Sofa"/>
    <s v="Sofa"/>
    <x v="6"/>
    <x v="0"/>
    <n v="3"/>
    <n v="450"/>
    <n v="15"/>
    <n v="1147.5"/>
    <n v="272.89"/>
  </r>
  <r>
    <x v="59"/>
    <x v="56"/>
    <x v="3"/>
    <s v="Gujarat"/>
    <s v="Ahmedabad"/>
    <x v="0"/>
    <s v="Desk"/>
    <s v="Desk"/>
    <x v="7"/>
    <x v="0"/>
    <n v="1"/>
    <n v="6459"/>
    <n v="5"/>
    <n v="6136.05"/>
    <n v="714.26"/>
  </r>
  <r>
    <x v="60"/>
    <x v="57"/>
    <x v="1"/>
    <s v="Tamil Nadu"/>
    <s v="Chennai"/>
    <x v="2"/>
    <s v="Printer Paper"/>
    <s v="Printer Paper"/>
    <x v="0"/>
    <x v="0"/>
    <n v="6"/>
    <n v="29966"/>
    <n v="15"/>
    <n v="152826.6"/>
    <n v="22861.39"/>
  </r>
  <r>
    <x v="61"/>
    <x v="58"/>
    <x v="0"/>
    <s v="West Bengal"/>
    <s v="Kolkata"/>
    <x v="2"/>
    <s v="Printer Paper"/>
    <s v="Printer Paper"/>
    <x v="1"/>
    <x v="1"/>
    <n v="7"/>
    <n v="1663"/>
    <n v="0"/>
    <n v="11641"/>
    <n v="2163.67"/>
  </r>
  <r>
    <x v="62"/>
    <x v="59"/>
    <x v="2"/>
    <s v="Chandigarh"/>
    <s v="Chandigarh"/>
    <x v="0"/>
    <s v="Desk"/>
    <s v="Desk"/>
    <x v="0"/>
    <x v="1"/>
    <n v="5"/>
    <n v="45572"/>
    <n v="15"/>
    <n v="193681"/>
    <n v="48347.59"/>
  </r>
  <r>
    <x v="63"/>
    <x v="60"/>
    <x v="2"/>
    <s v="Chandigarh"/>
    <s v="Chandigarh"/>
    <x v="0"/>
    <s v="Table"/>
    <s v="Table"/>
    <x v="2"/>
    <x v="1"/>
    <n v="7"/>
    <n v="41016"/>
    <n v="15"/>
    <n v="244045.2"/>
    <n v="43391.47"/>
  </r>
  <r>
    <x v="64"/>
    <x v="61"/>
    <x v="2"/>
    <s v="Chandigarh"/>
    <s v="Chandigarh"/>
    <x v="2"/>
    <s v="Pen"/>
    <s v="Pen"/>
    <x v="4"/>
    <x v="1"/>
    <n v="9"/>
    <n v="13035"/>
    <n v="10"/>
    <n v="105583.5"/>
    <n v="21571.15"/>
  </r>
  <r>
    <x v="65"/>
    <x v="62"/>
    <x v="1"/>
    <s v="Karnataka"/>
    <s v="Bengaluru"/>
    <x v="2"/>
    <s v="Notebook"/>
    <s v="Notebook"/>
    <x v="0"/>
    <x v="0"/>
    <n v="4"/>
    <n v="32047"/>
    <n v="20"/>
    <n v="102550.39999999999"/>
    <n v="20740.12"/>
  </r>
  <r>
    <x v="66"/>
    <x v="63"/>
    <x v="0"/>
    <s v="Odisha"/>
    <s v="Bhubaneswar"/>
    <x v="2"/>
    <s v="Notebook"/>
    <s v="Notebook"/>
    <x v="3"/>
    <x v="0"/>
    <n v="2"/>
    <n v="33276"/>
    <n v="10"/>
    <n v="59896.800000000003"/>
    <n v="8891.26"/>
  </r>
  <r>
    <x v="67"/>
    <x v="64"/>
    <x v="3"/>
    <s v="Maharashtra"/>
    <s v="Mumbai"/>
    <x v="2"/>
    <s v="Stapler"/>
    <s v="Stapler"/>
    <x v="6"/>
    <x v="0"/>
    <n v="6"/>
    <n v="40362"/>
    <n v="15"/>
    <n v="205846.2"/>
    <n v="51337.3"/>
  </r>
  <r>
    <x v="68"/>
    <x v="65"/>
    <x v="3"/>
    <s v="Maharashtra"/>
    <s v="Mumbai"/>
    <x v="2"/>
    <s v="Pen"/>
    <s v="Pen"/>
    <x v="6"/>
    <x v="1"/>
    <n v="10"/>
    <n v="30385"/>
    <n v="5"/>
    <n v="288657.5"/>
    <n v="49844.27"/>
  </r>
  <r>
    <x v="69"/>
    <x v="28"/>
    <x v="0"/>
    <s v="Odisha"/>
    <s v="Bhubaneswar"/>
    <x v="0"/>
    <s v="Table"/>
    <s v="Table"/>
    <x v="4"/>
    <x v="0"/>
    <n v="8"/>
    <n v="48604"/>
    <n v="5"/>
    <n v="369390.4"/>
    <n v="24787.57"/>
  </r>
  <r>
    <x v="70"/>
    <x v="66"/>
    <x v="0"/>
    <s v="Odisha"/>
    <s v="Bhubaneswar"/>
    <x v="2"/>
    <s v="Pen"/>
    <s v="Pen"/>
    <x v="1"/>
    <x v="1"/>
    <n v="7"/>
    <n v="1722"/>
    <n v="20"/>
    <n v="9643.2000000000007"/>
    <n v="1870.1"/>
  </r>
  <r>
    <x v="71"/>
    <x v="67"/>
    <x v="3"/>
    <s v="Gujarat"/>
    <s v="Ahmedabad"/>
    <x v="0"/>
    <s v="Chair"/>
    <s v="Chair"/>
    <x v="2"/>
    <x v="1"/>
    <n v="6"/>
    <n v="2848"/>
    <n v="15"/>
    <n v="14524.8"/>
    <n v="2799.45"/>
  </r>
  <r>
    <x v="72"/>
    <x v="68"/>
    <x v="3"/>
    <s v="Maharashtra"/>
    <s v="Mumbai"/>
    <x v="1"/>
    <s v="Monitor"/>
    <s v="Monitor"/>
    <x v="3"/>
    <x v="0"/>
    <n v="1"/>
    <n v="9560"/>
    <n v="20"/>
    <n v="7648"/>
    <n v="512.4"/>
  </r>
  <r>
    <x v="73"/>
    <x v="69"/>
    <x v="3"/>
    <s v="Maharashtra"/>
    <s v="Mumbai"/>
    <x v="1"/>
    <s v="Mobile"/>
    <s v="Mobile"/>
    <x v="7"/>
    <x v="1"/>
    <n v="9"/>
    <n v="34250"/>
    <n v="0"/>
    <n v="308250"/>
    <n v="73408.59"/>
  </r>
  <r>
    <x v="74"/>
    <x v="70"/>
    <x v="0"/>
    <s v="West Bengal"/>
    <s v="Kolkata"/>
    <x v="2"/>
    <s v="Notebook"/>
    <s v="Notebook"/>
    <x v="4"/>
    <x v="1"/>
    <n v="7"/>
    <n v="26829"/>
    <n v="20"/>
    <n v="150242.4"/>
    <n v="26563.16"/>
  </r>
  <r>
    <x v="75"/>
    <x v="71"/>
    <x v="3"/>
    <s v="Gujarat"/>
    <s v="Ahmedabad"/>
    <x v="1"/>
    <s v="Monitor"/>
    <s v="Monitor"/>
    <x v="7"/>
    <x v="0"/>
    <n v="1"/>
    <n v="47892"/>
    <n v="5"/>
    <n v="45497.4"/>
    <n v="7105.32"/>
  </r>
  <r>
    <x v="76"/>
    <x v="3"/>
    <x v="0"/>
    <s v="West Bengal"/>
    <s v="Kolkata"/>
    <x v="2"/>
    <s v="Pen"/>
    <s v="Pen"/>
    <x v="2"/>
    <x v="0"/>
    <n v="6"/>
    <n v="24788"/>
    <n v="15"/>
    <n v="126418.8"/>
    <n v="26620.59"/>
  </r>
  <r>
    <x v="77"/>
    <x v="72"/>
    <x v="1"/>
    <s v="Tamil Nadu"/>
    <s v="Chennai"/>
    <x v="0"/>
    <s v="Chair"/>
    <s v="Chair"/>
    <x v="2"/>
    <x v="0"/>
    <n v="3"/>
    <n v="30581"/>
    <n v="15"/>
    <n v="77981.55"/>
    <n v="13449.68"/>
  </r>
  <r>
    <x v="78"/>
    <x v="73"/>
    <x v="1"/>
    <s v="Karnataka"/>
    <s v="Bengaluru"/>
    <x v="1"/>
    <s v="Laptop"/>
    <s v="Laptop"/>
    <x v="6"/>
    <x v="1"/>
    <n v="8"/>
    <n v="35101"/>
    <n v="0"/>
    <n v="280808"/>
    <n v="70086.759999999995"/>
  </r>
  <r>
    <x v="79"/>
    <x v="74"/>
    <x v="2"/>
    <s v="Chandigarh"/>
    <s v="Chandigarh"/>
    <x v="0"/>
    <s v="Chair"/>
    <s v="Chair"/>
    <x v="6"/>
    <x v="0"/>
    <n v="6"/>
    <n v="30367"/>
    <n v="10"/>
    <n v="163981.79999999999"/>
    <n v="13545.08"/>
  </r>
  <r>
    <x v="80"/>
    <x v="75"/>
    <x v="0"/>
    <s v="West Bengal"/>
    <s v="Kolkata"/>
    <x v="1"/>
    <s v="Keyboard"/>
    <s v="Keyboard"/>
    <x v="0"/>
    <x v="0"/>
    <n v="6"/>
    <n v="32282"/>
    <n v="0"/>
    <n v="193692"/>
    <n v="26329.21"/>
  </r>
  <r>
    <x v="81"/>
    <x v="76"/>
    <x v="3"/>
    <s v="Gujarat"/>
    <s v="Ahmedabad"/>
    <x v="0"/>
    <s v="Sofa"/>
    <s v="Sofa"/>
    <x v="3"/>
    <x v="1"/>
    <n v="8"/>
    <n v="19698"/>
    <n v="20"/>
    <n v="126067.2"/>
    <n v="24914.83"/>
  </r>
  <r>
    <x v="82"/>
    <x v="77"/>
    <x v="3"/>
    <s v="Gujarat"/>
    <s v="Ahmedabad"/>
    <x v="0"/>
    <s v="Chair"/>
    <s v="Chair"/>
    <x v="2"/>
    <x v="0"/>
    <n v="2"/>
    <n v="48051"/>
    <n v="20"/>
    <n v="76881.600000000006"/>
    <n v="20420.490000000002"/>
  </r>
  <r>
    <x v="83"/>
    <x v="78"/>
    <x v="3"/>
    <s v="Gujarat"/>
    <s v="Ahmedabad"/>
    <x v="2"/>
    <s v="Stapler"/>
    <s v="Stapler"/>
    <x v="4"/>
    <x v="0"/>
    <n v="10"/>
    <n v="31350"/>
    <n v="0"/>
    <n v="313500"/>
    <n v="47385.72"/>
  </r>
  <r>
    <x v="84"/>
    <x v="33"/>
    <x v="0"/>
    <s v="Odisha"/>
    <s v="Bhubaneswar"/>
    <x v="1"/>
    <s v="Mobile"/>
    <s v="Mobile"/>
    <x v="2"/>
    <x v="1"/>
    <n v="2"/>
    <n v="44374"/>
    <n v="10"/>
    <n v="79873.2"/>
    <n v="18599.72"/>
  </r>
  <r>
    <x v="85"/>
    <x v="79"/>
    <x v="1"/>
    <s v="Tamil Nadu"/>
    <s v="Chennai"/>
    <x v="1"/>
    <s v="Monitor"/>
    <s v="Monitor"/>
    <x v="5"/>
    <x v="0"/>
    <n v="1"/>
    <n v="32996"/>
    <n v="20"/>
    <n v="26396.799999999999"/>
    <n v="3764.09"/>
  </r>
  <r>
    <x v="86"/>
    <x v="80"/>
    <x v="0"/>
    <s v="Odisha"/>
    <s v="Bhubaneswar"/>
    <x v="0"/>
    <s v="Sofa"/>
    <s v="Sofa"/>
    <x v="1"/>
    <x v="0"/>
    <n v="1"/>
    <n v="5227"/>
    <n v="5"/>
    <n v="4965.6499999999996"/>
    <n v="290.42"/>
  </r>
  <r>
    <x v="87"/>
    <x v="81"/>
    <x v="2"/>
    <s v="Delhi"/>
    <s v="Delhi"/>
    <x v="1"/>
    <s v="Monitor"/>
    <s v="Monitor"/>
    <x v="5"/>
    <x v="0"/>
    <n v="3"/>
    <n v="13096"/>
    <n v="5"/>
    <n v="37323.599999999999"/>
    <n v="4294.18"/>
  </r>
  <r>
    <x v="88"/>
    <x v="82"/>
    <x v="0"/>
    <s v="Odisha"/>
    <s v="Bhubaneswar"/>
    <x v="0"/>
    <s v="Sofa"/>
    <s v="Sofa"/>
    <x v="0"/>
    <x v="1"/>
    <n v="7"/>
    <n v="10723"/>
    <n v="10"/>
    <n v="67554.899999999994"/>
    <n v="18665.09"/>
  </r>
  <r>
    <x v="89"/>
    <x v="83"/>
    <x v="0"/>
    <s v="Odisha"/>
    <s v="Bhubaneswar"/>
    <x v="1"/>
    <s v="Keyboard"/>
    <s v="Keyboard"/>
    <x v="6"/>
    <x v="1"/>
    <n v="3"/>
    <n v="45433"/>
    <n v="20"/>
    <n v="109039.2"/>
    <n v="24007.61"/>
  </r>
  <r>
    <x v="90"/>
    <x v="84"/>
    <x v="3"/>
    <s v="Maharashtra"/>
    <s v="Mumbai"/>
    <x v="1"/>
    <s v="Mobile"/>
    <s v="Mobile"/>
    <x v="5"/>
    <x v="0"/>
    <n v="4"/>
    <n v="45170"/>
    <n v="15"/>
    <n v="153578"/>
    <n v="25782.18"/>
  </r>
  <r>
    <x v="91"/>
    <x v="85"/>
    <x v="0"/>
    <s v="West Bengal"/>
    <s v="Kolkata"/>
    <x v="2"/>
    <s v="Printer Paper"/>
    <s v="Printer Paper"/>
    <x v="5"/>
    <x v="1"/>
    <n v="4"/>
    <n v="40476"/>
    <n v="0"/>
    <n v="161904"/>
    <n v="48337.3"/>
  </r>
  <r>
    <x v="92"/>
    <x v="86"/>
    <x v="1"/>
    <s v="Tamil Nadu"/>
    <s v="Chennai"/>
    <x v="1"/>
    <s v="Mobile"/>
    <s v="Mobile"/>
    <x v="1"/>
    <x v="1"/>
    <n v="4"/>
    <n v="36979"/>
    <n v="0"/>
    <n v="147916"/>
    <n v="24854.07"/>
  </r>
  <r>
    <x v="93"/>
    <x v="34"/>
    <x v="2"/>
    <s v="Delhi"/>
    <s v="Delhi"/>
    <x v="1"/>
    <s v="Mobile"/>
    <s v="Mobile"/>
    <x v="0"/>
    <x v="1"/>
    <n v="9"/>
    <n v="46723"/>
    <n v="0"/>
    <n v="420507"/>
    <n v="98182.49"/>
  </r>
  <r>
    <x v="94"/>
    <x v="87"/>
    <x v="0"/>
    <s v="Odisha"/>
    <s v="Bhubaneswar"/>
    <x v="1"/>
    <s v="Laptop"/>
    <s v="Laptop"/>
    <x v="1"/>
    <x v="1"/>
    <n v="10"/>
    <n v="3595"/>
    <n v="5"/>
    <n v="34152.5"/>
    <n v="4720.6899999999996"/>
  </r>
  <r>
    <x v="95"/>
    <x v="88"/>
    <x v="3"/>
    <s v="Gujarat"/>
    <s v="Ahmedabad"/>
    <x v="2"/>
    <s v="Pen"/>
    <s v="Pen"/>
    <x v="1"/>
    <x v="0"/>
    <n v="6"/>
    <n v="36560"/>
    <n v="10"/>
    <n v="197424"/>
    <n v="53853.11"/>
  </r>
  <r>
    <x v="96"/>
    <x v="89"/>
    <x v="2"/>
    <s v="Chandigarh"/>
    <s v="Chandigarh"/>
    <x v="1"/>
    <s v="Laptop"/>
    <s v="Laptop"/>
    <x v="5"/>
    <x v="1"/>
    <n v="6"/>
    <n v="45384"/>
    <n v="10"/>
    <n v="245073.6"/>
    <n v="51256.31"/>
  </r>
  <r>
    <x v="97"/>
    <x v="90"/>
    <x v="2"/>
    <s v="Delhi"/>
    <s v="Delhi"/>
    <x v="0"/>
    <s v="Chair"/>
    <s v="Chair"/>
    <x v="2"/>
    <x v="1"/>
    <n v="8"/>
    <n v="30685"/>
    <n v="5"/>
    <n v="233206"/>
    <n v="60223.14"/>
  </r>
  <r>
    <x v="98"/>
    <x v="91"/>
    <x v="3"/>
    <s v="Maharashtra"/>
    <s v="Mumbai"/>
    <x v="0"/>
    <s v="Chair"/>
    <s v="Chair"/>
    <x v="1"/>
    <x v="0"/>
    <n v="4"/>
    <n v="19211"/>
    <n v="20"/>
    <n v="61475.199999999997"/>
    <n v="8237.42"/>
  </r>
  <r>
    <x v="99"/>
    <x v="92"/>
    <x v="2"/>
    <s v="Chandigarh"/>
    <s v="Chandigarh"/>
    <x v="1"/>
    <s v="Laptop"/>
    <s v="Laptop"/>
    <x v="7"/>
    <x v="1"/>
    <n v="2"/>
    <n v="24325"/>
    <n v="5"/>
    <n v="46217.5"/>
    <n v="4133.95"/>
  </r>
  <r>
    <x v="100"/>
    <x v="93"/>
    <x v="1"/>
    <s v="Tamil Nadu"/>
    <s v="Chennai"/>
    <x v="2"/>
    <s v="Stapler"/>
    <s v="Stapler"/>
    <x v="0"/>
    <x v="0"/>
    <n v="2"/>
    <n v="36245"/>
    <n v="15"/>
    <n v="61616.5"/>
    <n v="4467.18"/>
  </r>
  <r>
    <x v="101"/>
    <x v="94"/>
    <x v="2"/>
    <s v="Chandigarh"/>
    <s v="Chandigarh"/>
    <x v="1"/>
    <s v="Monitor"/>
    <s v="Monitor"/>
    <x v="2"/>
    <x v="1"/>
    <n v="1"/>
    <n v="21089"/>
    <n v="5"/>
    <n v="20034.55"/>
    <n v="2599.04"/>
  </r>
  <r>
    <x v="102"/>
    <x v="25"/>
    <x v="3"/>
    <s v="Gujarat"/>
    <s v="Ahmedabad"/>
    <x v="1"/>
    <s v="Laptop"/>
    <s v="Laptop"/>
    <x v="2"/>
    <x v="1"/>
    <n v="1"/>
    <n v="26318"/>
    <n v="10"/>
    <n v="23686.2"/>
    <n v="4103.46"/>
  </r>
  <r>
    <x v="103"/>
    <x v="95"/>
    <x v="3"/>
    <s v="Maharashtra"/>
    <s v="Mumbai"/>
    <x v="0"/>
    <s v="Desk"/>
    <s v="Desk"/>
    <x v="1"/>
    <x v="1"/>
    <n v="4"/>
    <n v="30443"/>
    <n v="0"/>
    <n v="121772"/>
    <n v="26375.73"/>
  </r>
  <r>
    <x v="104"/>
    <x v="96"/>
    <x v="2"/>
    <s v="Chandigarh"/>
    <s v="Chandigarh"/>
    <x v="2"/>
    <s v="Stapler"/>
    <s v="Stapler"/>
    <x v="6"/>
    <x v="0"/>
    <n v="9"/>
    <n v="33481"/>
    <n v="0"/>
    <n v="301329"/>
    <n v="24869.52"/>
  </r>
  <r>
    <x v="105"/>
    <x v="97"/>
    <x v="1"/>
    <s v="Karnataka"/>
    <s v="Bengaluru"/>
    <x v="0"/>
    <s v="Table"/>
    <s v="Table"/>
    <x v="0"/>
    <x v="0"/>
    <n v="3"/>
    <n v="40547"/>
    <n v="0"/>
    <n v="121641"/>
    <n v="36401.06"/>
  </r>
  <r>
    <x v="106"/>
    <x v="98"/>
    <x v="3"/>
    <s v="Gujarat"/>
    <s v="Ahmedabad"/>
    <x v="1"/>
    <s v="Monitor"/>
    <s v="Monitor"/>
    <x v="0"/>
    <x v="1"/>
    <n v="4"/>
    <n v="21488"/>
    <n v="10"/>
    <n v="77356.800000000003"/>
    <n v="21390.5"/>
  </r>
  <r>
    <x v="107"/>
    <x v="99"/>
    <x v="2"/>
    <s v="Chandigarh"/>
    <s v="Chandigarh"/>
    <x v="2"/>
    <s v="Pen"/>
    <s v="Pen"/>
    <x v="7"/>
    <x v="1"/>
    <n v="8"/>
    <n v="24731"/>
    <n v="15"/>
    <n v="168170.8"/>
    <n v="43832.95"/>
  </r>
  <r>
    <x v="108"/>
    <x v="100"/>
    <x v="1"/>
    <s v="Karnataka"/>
    <s v="Bengaluru"/>
    <x v="0"/>
    <s v="Sofa"/>
    <s v="Sofa"/>
    <x v="3"/>
    <x v="0"/>
    <n v="8"/>
    <n v="7993"/>
    <n v="5"/>
    <n v="60746.8"/>
    <n v="7513.74"/>
  </r>
  <r>
    <x v="109"/>
    <x v="101"/>
    <x v="2"/>
    <s v="Delhi"/>
    <s v="Delhi"/>
    <x v="0"/>
    <s v="Chair"/>
    <s v="Chair"/>
    <x v="5"/>
    <x v="1"/>
    <n v="8"/>
    <n v="25911"/>
    <n v="0"/>
    <n v="207288"/>
    <n v="49522.14"/>
  </r>
  <r>
    <x v="110"/>
    <x v="102"/>
    <x v="2"/>
    <s v="Delhi"/>
    <s v="Delhi"/>
    <x v="0"/>
    <s v="Sofa"/>
    <s v="Sofa"/>
    <x v="1"/>
    <x v="1"/>
    <n v="10"/>
    <n v="18368"/>
    <n v="15"/>
    <n v="156128"/>
    <n v="46388.33"/>
  </r>
  <r>
    <x v="111"/>
    <x v="103"/>
    <x v="1"/>
    <s v="Karnataka"/>
    <s v="Bengaluru"/>
    <x v="1"/>
    <s v="Keyboard"/>
    <s v="Keyboard"/>
    <x v="6"/>
    <x v="0"/>
    <n v="3"/>
    <n v="1764"/>
    <n v="15"/>
    <n v="4498.2"/>
    <n v="881.22"/>
  </r>
  <r>
    <x v="112"/>
    <x v="104"/>
    <x v="1"/>
    <s v="Karnataka"/>
    <s v="Bengaluru"/>
    <x v="0"/>
    <s v="Sofa"/>
    <s v="Sofa"/>
    <x v="2"/>
    <x v="0"/>
    <n v="9"/>
    <n v="45124"/>
    <n v="20"/>
    <n v="324892.79999999999"/>
    <n v="61158.57"/>
  </r>
  <r>
    <x v="113"/>
    <x v="105"/>
    <x v="1"/>
    <s v="Karnataka"/>
    <s v="Bengaluru"/>
    <x v="1"/>
    <s v="Keyboard"/>
    <s v="Keyboard"/>
    <x v="3"/>
    <x v="0"/>
    <n v="10"/>
    <n v="27039"/>
    <n v="10"/>
    <n v="243351"/>
    <n v="13784.11"/>
  </r>
  <r>
    <x v="114"/>
    <x v="106"/>
    <x v="3"/>
    <s v="Gujarat"/>
    <s v="Ahmedabad"/>
    <x v="2"/>
    <s v="Pen"/>
    <s v="Pen"/>
    <x v="4"/>
    <x v="0"/>
    <n v="7"/>
    <n v="24742"/>
    <n v="5"/>
    <n v="164534.29999999999"/>
    <n v="16767.7"/>
  </r>
  <r>
    <x v="115"/>
    <x v="107"/>
    <x v="3"/>
    <s v="Gujarat"/>
    <s v="Ahmedabad"/>
    <x v="2"/>
    <s v="Notebook"/>
    <s v="Notebook"/>
    <x v="4"/>
    <x v="1"/>
    <n v="7"/>
    <n v="9715"/>
    <n v="10"/>
    <n v="61204.5"/>
    <n v="3764.73"/>
  </r>
  <r>
    <x v="116"/>
    <x v="79"/>
    <x v="2"/>
    <s v="Chandigarh"/>
    <s v="Chandigarh"/>
    <x v="2"/>
    <s v="Stapler"/>
    <s v="Stapler"/>
    <x v="7"/>
    <x v="1"/>
    <n v="6"/>
    <n v="6921"/>
    <n v="10"/>
    <n v="37373.4"/>
    <n v="10897.26"/>
  </r>
  <r>
    <x v="117"/>
    <x v="108"/>
    <x v="2"/>
    <s v="Chandigarh"/>
    <s v="Chandigarh"/>
    <x v="2"/>
    <s v="Pen"/>
    <s v="Pen"/>
    <x v="0"/>
    <x v="1"/>
    <n v="2"/>
    <n v="4754"/>
    <n v="10"/>
    <n v="8557.2000000000007"/>
    <n v="1823.19"/>
  </r>
  <r>
    <x v="118"/>
    <x v="109"/>
    <x v="1"/>
    <s v="Karnataka"/>
    <s v="Bengaluru"/>
    <x v="1"/>
    <s v="Monitor"/>
    <s v="Monitor"/>
    <x v="0"/>
    <x v="1"/>
    <n v="2"/>
    <n v="22280"/>
    <n v="20"/>
    <n v="35648"/>
    <n v="5090.49"/>
  </r>
  <r>
    <x v="119"/>
    <x v="110"/>
    <x v="2"/>
    <s v="Delhi"/>
    <s v="Delhi"/>
    <x v="1"/>
    <s v="Monitor"/>
    <s v="Monitor"/>
    <x v="0"/>
    <x v="0"/>
    <n v="5"/>
    <n v="32346"/>
    <n v="5"/>
    <n v="153643.5"/>
    <n v="20622.52"/>
  </r>
  <r>
    <x v="120"/>
    <x v="111"/>
    <x v="3"/>
    <s v="Gujarat"/>
    <s v="Ahmedabad"/>
    <x v="0"/>
    <s v="Chair"/>
    <s v="Chair"/>
    <x v="1"/>
    <x v="0"/>
    <n v="3"/>
    <n v="22986"/>
    <n v="15"/>
    <n v="58614.3"/>
    <n v="12545.09"/>
  </r>
  <r>
    <x v="121"/>
    <x v="112"/>
    <x v="3"/>
    <s v="Gujarat"/>
    <s v="Ahmedabad"/>
    <x v="2"/>
    <s v="Notebook"/>
    <s v="Notebook"/>
    <x v="6"/>
    <x v="1"/>
    <n v="6"/>
    <n v="19692"/>
    <n v="10"/>
    <n v="106336.8"/>
    <n v="14520.78"/>
  </r>
  <r>
    <x v="122"/>
    <x v="4"/>
    <x v="1"/>
    <s v="Tamil Nadu"/>
    <s v="Chennai"/>
    <x v="1"/>
    <s v="Monitor"/>
    <s v="Monitor"/>
    <x v="2"/>
    <x v="0"/>
    <n v="2"/>
    <n v="8903"/>
    <n v="10"/>
    <n v="16025.4"/>
    <n v="1149.31"/>
  </r>
  <r>
    <x v="123"/>
    <x v="5"/>
    <x v="3"/>
    <s v="Gujarat"/>
    <s v="Ahmedabad"/>
    <x v="0"/>
    <s v="Desk"/>
    <s v="Desk"/>
    <x v="7"/>
    <x v="0"/>
    <n v="4"/>
    <n v="34111"/>
    <n v="10"/>
    <n v="122799.6"/>
    <n v="20187.080000000002"/>
  </r>
  <r>
    <x v="124"/>
    <x v="113"/>
    <x v="3"/>
    <s v="Gujarat"/>
    <s v="Ahmedabad"/>
    <x v="2"/>
    <s v="Pen"/>
    <s v="Pen"/>
    <x v="6"/>
    <x v="0"/>
    <n v="7"/>
    <n v="6440"/>
    <n v="20"/>
    <n v="36064"/>
    <n v="9816.31"/>
  </r>
  <r>
    <x v="125"/>
    <x v="114"/>
    <x v="1"/>
    <s v="Tamil Nadu"/>
    <s v="Chennai"/>
    <x v="2"/>
    <s v="Stapler"/>
    <s v="Stapler"/>
    <x v="4"/>
    <x v="1"/>
    <n v="9"/>
    <n v="17227"/>
    <n v="20"/>
    <n v="124034.4"/>
    <n v="35059.51"/>
  </r>
  <r>
    <x v="126"/>
    <x v="115"/>
    <x v="2"/>
    <s v="Delhi"/>
    <s v="Delhi"/>
    <x v="1"/>
    <s v="Monitor"/>
    <s v="Monitor"/>
    <x v="1"/>
    <x v="0"/>
    <n v="6"/>
    <n v="32696"/>
    <n v="5"/>
    <n v="186367.2"/>
    <n v="14346.99"/>
  </r>
  <r>
    <x v="127"/>
    <x v="116"/>
    <x v="3"/>
    <s v="Gujarat"/>
    <s v="Ahmedabad"/>
    <x v="1"/>
    <s v="Mobile"/>
    <s v="Mobile"/>
    <x v="7"/>
    <x v="0"/>
    <n v="1"/>
    <n v="44828"/>
    <n v="5"/>
    <n v="42586.6"/>
    <n v="9146.64"/>
  </r>
  <r>
    <x v="128"/>
    <x v="117"/>
    <x v="0"/>
    <s v="Odisha"/>
    <s v="Bhubaneswar"/>
    <x v="0"/>
    <s v="Sofa"/>
    <s v="Sofa"/>
    <x v="6"/>
    <x v="0"/>
    <n v="4"/>
    <n v="34493"/>
    <n v="0"/>
    <n v="137972"/>
    <n v="23672.26"/>
  </r>
  <r>
    <x v="129"/>
    <x v="118"/>
    <x v="2"/>
    <s v="Chandigarh"/>
    <s v="Chandigarh"/>
    <x v="2"/>
    <s v="Pen"/>
    <s v="Pen"/>
    <x v="1"/>
    <x v="1"/>
    <n v="8"/>
    <n v="38557"/>
    <n v="10"/>
    <n v="277610.40000000002"/>
    <n v="71248.11"/>
  </r>
  <r>
    <x v="130"/>
    <x v="2"/>
    <x v="1"/>
    <s v="Tamil Nadu"/>
    <s v="Chennai"/>
    <x v="1"/>
    <s v="Mobile"/>
    <s v="Mobile"/>
    <x v="0"/>
    <x v="1"/>
    <n v="10"/>
    <n v="20507"/>
    <n v="5"/>
    <n v="194816.5"/>
    <n v="18978.099999999999"/>
  </r>
  <r>
    <x v="131"/>
    <x v="119"/>
    <x v="3"/>
    <s v="Gujarat"/>
    <s v="Ahmedabad"/>
    <x v="0"/>
    <s v="Table"/>
    <s v="Table"/>
    <x v="7"/>
    <x v="1"/>
    <n v="10"/>
    <n v="28603"/>
    <n v="15"/>
    <n v="243125.5"/>
    <n v="67781.899999999994"/>
  </r>
  <r>
    <x v="132"/>
    <x v="101"/>
    <x v="1"/>
    <s v="Tamil Nadu"/>
    <s v="Chennai"/>
    <x v="1"/>
    <s v="Mobile"/>
    <s v="Mobile"/>
    <x v="2"/>
    <x v="0"/>
    <n v="10"/>
    <n v="32781"/>
    <n v="10"/>
    <n v="295029"/>
    <n v="75800.73"/>
  </r>
  <r>
    <x v="133"/>
    <x v="120"/>
    <x v="0"/>
    <s v="Odisha"/>
    <s v="Bhubaneswar"/>
    <x v="1"/>
    <s v="Laptop"/>
    <s v="Laptop"/>
    <x v="4"/>
    <x v="0"/>
    <n v="2"/>
    <n v="45825"/>
    <n v="15"/>
    <n v="77902.5"/>
    <n v="14114.44"/>
  </r>
  <r>
    <x v="134"/>
    <x v="121"/>
    <x v="2"/>
    <s v="Chandigarh"/>
    <s v="Chandigarh"/>
    <x v="2"/>
    <s v="Pen"/>
    <s v="Pen"/>
    <x v="1"/>
    <x v="0"/>
    <n v="9"/>
    <n v="16575"/>
    <n v="10"/>
    <n v="134257.5"/>
    <n v="38266.870000000003"/>
  </r>
  <r>
    <x v="135"/>
    <x v="122"/>
    <x v="1"/>
    <s v="Karnataka"/>
    <s v="Bengaluru"/>
    <x v="1"/>
    <s v="Mobile"/>
    <s v="Mobile"/>
    <x v="6"/>
    <x v="1"/>
    <n v="9"/>
    <n v="36599"/>
    <n v="10"/>
    <n v="296451.90000000002"/>
    <n v="72898.509999999995"/>
  </r>
  <r>
    <x v="136"/>
    <x v="123"/>
    <x v="1"/>
    <s v="Tamil Nadu"/>
    <s v="Chennai"/>
    <x v="2"/>
    <s v="Pen"/>
    <s v="Pen"/>
    <x v="4"/>
    <x v="0"/>
    <n v="2"/>
    <n v="45775"/>
    <n v="5"/>
    <n v="86972.5"/>
    <n v="8951.27"/>
  </r>
  <r>
    <x v="137"/>
    <x v="124"/>
    <x v="0"/>
    <s v="Odisha"/>
    <s v="Bhubaneswar"/>
    <x v="0"/>
    <s v="Desk"/>
    <s v="Desk"/>
    <x v="6"/>
    <x v="0"/>
    <n v="5"/>
    <n v="32985"/>
    <n v="15"/>
    <n v="140186.25"/>
    <n v="30382.17"/>
  </r>
  <r>
    <x v="138"/>
    <x v="125"/>
    <x v="2"/>
    <s v="Delhi"/>
    <s v="Delhi"/>
    <x v="2"/>
    <s v="Stapler"/>
    <s v="Stapler"/>
    <x v="0"/>
    <x v="1"/>
    <n v="10"/>
    <n v="38023"/>
    <n v="10"/>
    <n v="342207"/>
    <n v="91237.52"/>
  </r>
  <r>
    <x v="139"/>
    <x v="126"/>
    <x v="0"/>
    <s v="Odisha"/>
    <s v="Bhubaneswar"/>
    <x v="2"/>
    <s v="Pen"/>
    <s v="Pen"/>
    <x v="0"/>
    <x v="1"/>
    <n v="5"/>
    <n v="3562"/>
    <n v="20"/>
    <n v="14248"/>
    <n v="1967.65"/>
  </r>
  <r>
    <x v="140"/>
    <x v="19"/>
    <x v="3"/>
    <s v="Maharashtra"/>
    <s v="Mumbai"/>
    <x v="1"/>
    <s v="Monitor"/>
    <s v="Monitor"/>
    <x v="4"/>
    <x v="1"/>
    <n v="4"/>
    <n v="30415"/>
    <n v="5"/>
    <n v="115577"/>
    <n v="10097.01"/>
  </r>
  <r>
    <x v="141"/>
    <x v="127"/>
    <x v="3"/>
    <s v="Gujarat"/>
    <s v="Ahmedabad"/>
    <x v="1"/>
    <s v="Laptop"/>
    <s v="Laptop"/>
    <x v="0"/>
    <x v="1"/>
    <n v="10"/>
    <n v="22554"/>
    <n v="5"/>
    <n v="214263"/>
    <n v="39521.480000000003"/>
  </r>
  <r>
    <x v="142"/>
    <x v="128"/>
    <x v="1"/>
    <s v="Tamil Nadu"/>
    <s v="Chennai"/>
    <x v="2"/>
    <s v="Printer Paper"/>
    <s v="Printer Paper"/>
    <x v="6"/>
    <x v="0"/>
    <n v="10"/>
    <n v="20730"/>
    <n v="5"/>
    <n v="196935"/>
    <n v="57795.89"/>
  </r>
  <r>
    <x v="143"/>
    <x v="129"/>
    <x v="2"/>
    <s v="Delhi"/>
    <s v="Delhi"/>
    <x v="1"/>
    <s v="Monitor"/>
    <s v="Monitor"/>
    <x v="2"/>
    <x v="0"/>
    <n v="10"/>
    <n v="44972"/>
    <n v="0"/>
    <n v="449720"/>
    <n v="75512.56"/>
  </r>
  <r>
    <x v="144"/>
    <x v="15"/>
    <x v="0"/>
    <s v="Odisha"/>
    <s v="Bhubaneswar"/>
    <x v="1"/>
    <s v="Monitor"/>
    <s v="Monitor"/>
    <x v="7"/>
    <x v="0"/>
    <n v="3"/>
    <n v="20323"/>
    <n v="5"/>
    <n v="57920.55"/>
    <n v="6964.61"/>
  </r>
  <r>
    <x v="145"/>
    <x v="64"/>
    <x v="0"/>
    <s v="Odisha"/>
    <s v="Bhubaneswar"/>
    <x v="1"/>
    <s v="Laptop"/>
    <s v="Laptop"/>
    <x v="0"/>
    <x v="0"/>
    <n v="5"/>
    <n v="38792"/>
    <n v="10"/>
    <n v="174564"/>
    <n v="40968.519999999997"/>
  </r>
  <r>
    <x v="146"/>
    <x v="126"/>
    <x v="3"/>
    <s v="Gujarat"/>
    <s v="Ahmedabad"/>
    <x v="2"/>
    <s v="Printer Paper"/>
    <s v="Printer Paper"/>
    <x v="2"/>
    <x v="1"/>
    <n v="4"/>
    <n v="20250"/>
    <n v="20"/>
    <n v="64800"/>
    <n v="15874.2"/>
  </r>
  <r>
    <x v="147"/>
    <x v="130"/>
    <x v="2"/>
    <s v="Chandigarh"/>
    <s v="Chandigarh"/>
    <x v="0"/>
    <s v="Desk"/>
    <s v="Desk"/>
    <x v="1"/>
    <x v="0"/>
    <n v="9"/>
    <n v="2531"/>
    <n v="15"/>
    <n v="19362.150000000001"/>
    <n v="4074.83"/>
  </r>
  <r>
    <x v="148"/>
    <x v="131"/>
    <x v="2"/>
    <s v="Chandigarh"/>
    <s v="Chandigarh"/>
    <x v="0"/>
    <s v="Chair"/>
    <s v="Chair"/>
    <x v="0"/>
    <x v="1"/>
    <n v="7"/>
    <n v="17564"/>
    <n v="0"/>
    <n v="122948"/>
    <n v="21657.53"/>
  </r>
  <r>
    <x v="149"/>
    <x v="132"/>
    <x v="0"/>
    <s v="Odisha"/>
    <s v="Bhubaneswar"/>
    <x v="0"/>
    <s v="Table"/>
    <s v="Table"/>
    <x v="7"/>
    <x v="0"/>
    <n v="9"/>
    <n v="512"/>
    <n v="20"/>
    <n v="3686.4"/>
    <n v="331.59"/>
  </r>
  <r>
    <x v="150"/>
    <x v="133"/>
    <x v="0"/>
    <s v="Odisha"/>
    <s v="Bhubaneswar"/>
    <x v="2"/>
    <s v="Pen"/>
    <s v="Pen"/>
    <x v="4"/>
    <x v="0"/>
    <n v="3"/>
    <n v="30770"/>
    <n v="15"/>
    <n v="78463.5"/>
    <n v="13392.47"/>
  </r>
  <r>
    <x v="151"/>
    <x v="91"/>
    <x v="3"/>
    <s v="Maharashtra"/>
    <s v="Mumbai"/>
    <x v="2"/>
    <s v="Pen"/>
    <s v="Pen"/>
    <x v="2"/>
    <x v="0"/>
    <n v="6"/>
    <n v="35688"/>
    <n v="15"/>
    <n v="182008.8"/>
    <n v="46609.42"/>
  </r>
  <r>
    <x v="152"/>
    <x v="134"/>
    <x v="1"/>
    <s v="Tamil Nadu"/>
    <s v="Chennai"/>
    <x v="2"/>
    <s v="Notebook"/>
    <s v="Notebook"/>
    <x v="2"/>
    <x v="0"/>
    <n v="4"/>
    <n v="10608"/>
    <n v="20"/>
    <n v="33945.599999999999"/>
    <n v="9213.6200000000008"/>
  </r>
  <r>
    <x v="153"/>
    <x v="135"/>
    <x v="3"/>
    <s v="Maharashtra"/>
    <s v="Mumbai"/>
    <x v="2"/>
    <s v="Notebook"/>
    <s v="Notebook"/>
    <x v="7"/>
    <x v="1"/>
    <n v="5"/>
    <n v="42962"/>
    <n v="20"/>
    <n v="171848"/>
    <n v="30316.31"/>
  </r>
  <r>
    <x v="154"/>
    <x v="62"/>
    <x v="0"/>
    <s v="Odisha"/>
    <s v="Bhubaneswar"/>
    <x v="1"/>
    <s v="Mobile"/>
    <s v="Mobile"/>
    <x v="4"/>
    <x v="0"/>
    <n v="7"/>
    <n v="23336"/>
    <n v="10"/>
    <n v="147016.79999999999"/>
    <n v="29776.74"/>
  </r>
  <r>
    <x v="155"/>
    <x v="136"/>
    <x v="2"/>
    <s v="Delhi"/>
    <s v="Delhi"/>
    <x v="2"/>
    <s v="Printer Paper"/>
    <s v="Printer Paper"/>
    <x v="7"/>
    <x v="1"/>
    <n v="2"/>
    <n v="17569"/>
    <n v="10"/>
    <n v="31624.2"/>
    <n v="9120.59"/>
  </r>
  <r>
    <x v="156"/>
    <x v="122"/>
    <x v="0"/>
    <s v="Odisha"/>
    <s v="Bhubaneswar"/>
    <x v="1"/>
    <s v="Monitor"/>
    <s v="Monitor"/>
    <x v="0"/>
    <x v="1"/>
    <n v="5"/>
    <n v="41141"/>
    <n v="10"/>
    <n v="185134.5"/>
    <n v="27995.01"/>
  </r>
  <r>
    <x v="157"/>
    <x v="93"/>
    <x v="0"/>
    <s v="Odisha"/>
    <s v="Bhubaneswar"/>
    <x v="1"/>
    <s v="Keyboard"/>
    <s v="Keyboard"/>
    <x v="1"/>
    <x v="1"/>
    <n v="4"/>
    <n v="40417"/>
    <n v="0"/>
    <n v="161668"/>
    <n v="48031.22"/>
  </r>
  <r>
    <x v="158"/>
    <x v="75"/>
    <x v="1"/>
    <s v="Karnataka"/>
    <s v="Bengaluru"/>
    <x v="0"/>
    <s v="Table"/>
    <s v="Table"/>
    <x v="1"/>
    <x v="0"/>
    <n v="1"/>
    <n v="13145"/>
    <n v="5"/>
    <n v="12487.75"/>
    <n v="2149.7399999999998"/>
  </r>
  <r>
    <x v="159"/>
    <x v="137"/>
    <x v="3"/>
    <s v="Maharashtra"/>
    <s v="Mumbai"/>
    <x v="0"/>
    <s v="Desk"/>
    <s v="Desk"/>
    <x v="4"/>
    <x v="0"/>
    <n v="6"/>
    <n v="20828"/>
    <n v="20"/>
    <n v="99974.399999999994"/>
    <n v="20538.150000000001"/>
  </r>
  <r>
    <x v="160"/>
    <x v="138"/>
    <x v="0"/>
    <s v="West Bengal"/>
    <s v="Kolkata"/>
    <x v="0"/>
    <s v="Sofa"/>
    <s v="Sofa"/>
    <x v="1"/>
    <x v="0"/>
    <n v="2"/>
    <n v="7247"/>
    <n v="5"/>
    <n v="13769.3"/>
    <n v="3337.16"/>
  </r>
  <r>
    <x v="161"/>
    <x v="139"/>
    <x v="1"/>
    <s v="Tamil Nadu"/>
    <s v="Chennai"/>
    <x v="1"/>
    <s v="Mobile"/>
    <s v="Mobile"/>
    <x v="5"/>
    <x v="0"/>
    <n v="5"/>
    <n v="17897"/>
    <n v="15"/>
    <n v="76062.25"/>
    <n v="4355.46"/>
  </r>
  <r>
    <x v="162"/>
    <x v="140"/>
    <x v="1"/>
    <s v="Tamil Nadu"/>
    <s v="Chennai"/>
    <x v="0"/>
    <s v="Table"/>
    <s v="Table"/>
    <x v="1"/>
    <x v="0"/>
    <n v="4"/>
    <n v="5470"/>
    <n v="15"/>
    <n v="18598"/>
    <n v="1649.65"/>
  </r>
  <r>
    <x v="163"/>
    <x v="141"/>
    <x v="2"/>
    <s v="Delhi"/>
    <s v="Delhi"/>
    <x v="2"/>
    <s v="Pen"/>
    <s v="Pen"/>
    <x v="0"/>
    <x v="0"/>
    <n v="7"/>
    <n v="4090"/>
    <n v="0"/>
    <n v="28630"/>
    <n v="3828.76"/>
  </r>
  <r>
    <x v="164"/>
    <x v="142"/>
    <x v="0"/>
    <s v="Odisha"/>
    <s v="Bhubaneswar"/>
    <x v="2"/>
    <s v="Stapler"/>
    <s v="Stapler"/>
    <x v="1"/>
    <x v="1"/>
    <n v="8"/>
    <n v="20843"/>
    <n v="10"/>
    <n v="150069.6"/>
    <n v="27940.83"/>
  </r>
  <r>
    <x v="165"/>
    <x v="143"/>
    <x v="1"/>
    <s v="Karnataka"/>
    <s v="Bengaluru"/>
    <x v="1"/>
    <s v="Mobile"/>
    <s v="Mobile"/>
    <x v="5"/>
    <x v="0"/>
    <n v="8"/>
    <n v="19971"/>
    <n v="10"/>
    <n v="143791.20000000001"/>
    <n v="19855.11"/>
  </r>
  <r>
    <x v="166"/>
    <x v="144"/>
    <x v="3"/>
    <s v="Gujarat"/>
    <s v="Ahmedabad"/>
    <x v="0"/>
    <s v="Chair"/>
    <s v="Chair"/>
    <x v="6"/>
    <x v="1"/>
    <n v="8"/>
    <n v="39493"/>
    <n v="20"/>
    <n v="252755.20000000001"/>
    <n v="29608.22"/>
  </r>
  <r>
    <x v="167"/>
    <x v="145"/>
    <x v="3"/>
    <s v="Gujarat"/>
    <s v="Ahmedabad"/>
    <x v="0"/>
    <s v="Chair"/>
    <s v="Chair"/>
    <x v="1"/>
    <x v="0"/>
    <n v="8"/>
    <n v="18498"/>
    <n v="5"/>
    <n v="140584.79999999999"/>
    <n v="20854.79"/>
  </r>
  <r>
    <x v="168"/>
    <x v="146"/>
    <x v="3"/>
    <s v="Gujarat"/>
    <s v="Ahmedabad"/>
    <x v="1"/>
    <s v="Mobile"/>
    <s v="Mobile"/>
    <x v="5"/>
    <x v="1"/>
    <n v="9"/>
    <n v="42306"/>
    <n v="15"/>
    <n v="323640.90000000002"/>
    <n v="21692.65"/>
  </r>
  <r>
    <x v="169"/>
    <x v="147"/>
    <x v="1"/>
    <s v="Karnataka"/>
    <s v="Bengaluru"/>
    <x v="0"/>
    <s v="Sofa"/>
    <s v="Sofa"/>
    <x v="2"/>
    <x v="0"/>
    <n v="3"/>
    <n v="13338"/>
    <n v="10"/>
    <n v="36012.6"/>
    <n v="8686.9599999999991"/>
  </r>
  <r>
    <x v="170"/>
    <x v="148"/>
    <x v="0"/>
    <s v="Odisha"/>
    <s v="Bhubaneswar"/>
    <x v="1"/>
    <s v="Mobile"/>
    <s v="Mobile"/>
    <x v="0"/>
    <x v="1"/>
    <n v="9"/>
    <n v="20928"/>
    <n v="15"/>
    <n v="160099.20000000001"/>
    <n v="42824.68"/>
  </r>
  <r>
    <x v="171"/>
    <x v="149"/>
    <x v="0"/>
    <s v="Odisha"/>
    <s v="Bhubaneswar"/>
    <x v="2"/>
    <s v="Stapler"/>
    <s v="Stapler"/>
    <x v="0"/>
    <x v="0"/>
    <n v="3"/>
    <n v="38436"/>
    <n v="5"/>
    <n v="109542.6"/>
    <n v="11798.51"/>
  </r>
  <r>
    <x v="172"/>
    <x v="150"/>
    <x v="2"/>
    <s v="Chandigarh"/>
    <s v="Chandigarh"/>
    <x v="0"/>
    <s v="Desk"/>
    <s v="Desk"/>
    <x v="1"/>
    <x v="1"/>
    <n v="10"/>
    <n v="42322"/>
    <n v="15"/>
    <n v="359737"/>
    <n v="53503.35"/>
  </r>
  <r>
    <x v="173"/>
    <x v="23"/>
    <x v="0"/>
    <s v="West Bengal"/>
    <s v="Kolkata"/>
    <x v="0"/>
    <s v="Table"/>
    <s v="Table"/>
    <x v="3"/>
    <x v="1"/>
    <n v="5"/>
    <n v="10062"/>
    <n v="20"/>
    <n v="40248"/>
    <n v="7057.42"/>
  </r>
  <r>
    <x v="174"/>
    <x v="52"/>
    <x v="0"/>
    <s v="Odisha"/>
    <s v="Bhubaneswar"/>
    <x v="1"/>
    <s v="Mobile"/>
    <s v="Mobile"/>
    <x v="7"/>
    <x v="1"/>
    <n v="2"/>
    <n v="40443"/>
    <n v="15"/>
    <n v="68753.100000000006"/>
    <n v="14529.59"/>
  </r>
  <r>
    <x v="175"/>
    <x v="151"/>
    <x v="3"/>
    <s v="Gujarat"/>
    <s v="Ahmedabad"/>
    <x v="1"/>
    <s v="Monitor"/>
    <s v="Monitor"/>
    <x v="7"/>
    <x v="0"/>
    <n v="4"/>
    <n v="21677"/>
    <n v="20"/>
    <n v="69366.399999999994"/>
    <n v="20319.97"/>
  </r>
  <r>
    <x v="176"/>
    <x v="152"/>
    <x v="2"/>
    <s v="Chandigarh"/>
    <s v="Chandigarh"/>
    <x v="0"/>
    <s v="Table"/>
    <s v="Table"/>
    <x v="3"/>
    <x v="0"/>
    <n v="2"/>
    <n v="37572"/>
    <n v="5"/>
    <n v="71386.8"/>
    <n v="8232.51"/>
  </r>
  <r>
    <x v="177"/>
    <x v="9"/>
    <x v="2"/>
    <s v="Chandigarh"/>
    <s v="Chandigarh"/>
    <x v="2"/>
    <s v="Printer Paper"/>
    <s v="Printer Paper"/>
    <x v="0"/>
    <x v="0"/>
    <n v="2"/>
    <n v="26410"/>
    <n v="5"/>
    <n v="50179"/>
    <n v="3609.9"/>
  </r>
  <r>
    <x v="178"/>
    <x v="153"/>
    <x v="2"/>
    <s v="Delhi"/>
    <s v="Delhi"/>
    <x v="1"/>
    <s v="Keyboard"/>
    <s v="Keyboard"/>
    <x v="7"/>
    <x v="0"/>
    <n v="3"/>
    <n v="8591"/>
    <n v="15"/>
    <n v="21907.05"/>
    <n v="1970.7"/>
  </r>
  <r>
    <x v="179"/>
    <x v="154"/>
    <x v="0"/>
    <s v="Odisha"/>
    <s v="Bhubaneswar"/>
    <x v="1"/>
    <s v="Monitor"/>
    <s v="Monitor"/>
    <x v="5"/>
    <x v="0"/>
    <n v="5"/>
    <n v="13511"/>
    <n v="20"/>
    <n v="54044"/>
    <n v="11263.43"/>
  </r>
  <r>
    <x v="180"/>
    <x v="39"/>
    <x v="3"/>
    <s v="Gujarat"/>
    <s v="Ahmedabad"/>
    <x v="2"/>
    <s v="Pen"/>
    <s v="Pen"/>
    <x v="3"/>
    <x v="0"/>
    <n v="7"/>
    <n v="48312"/>
    <n v="5"/>
    <n v="321274.8"/>
    <n v="79408.52"/>
  </r>
  <r>
    <x v="181"/>
    <x v="20"/>
    <x v="1"/>
    <s v="Karnataka"/>
    <s v="Bengaluru"/>
    <x v="1"/>
    <s v="Mobile"/>
    <s v="Mobile"/>
    <x v="4"/>
    <x v="1"/>
    <n v="2"/>
    <n v="38987"/>
    <n v="15"/>
    <n v="66277.899999999994"/>
    <n v="15830.84"/>
  </r>
  <r>
    <x v="182"/>
    <x v="31"/>
    <x v="0"/>
    <s v="West Bengal"/>
    <s v="Kolkata"/>
    <x v="1"/>
    <s v="Monitor"/>
    <s v="Monitor"/>
    <x v="3"/>
    <x v="0"/>
    <n v="3"/>
    <n v="21506"/>
    <n v="5"/>
    <n v="61292.1"/>
    <n v="5672.11"/>
  </r>
  <r>
    <x v="183"/>
    <x v="136"/>
    <x v="0"/>
    <s v="Odisha"/>
    <s v="Bhubaneswar"/>
    <x v="2"/>
    <s v="Pen"/>
    <s v="Pen"/>
    <x v="0"/>
    <x v="0"/>
    <n v="10"/>
    <n v="13016"/>
    <n v="0"/>
    <n v="130160"/>
    <n v="12377.8"/>
  </r>
  <r>
    <x v="184"/>
    <x v="148"/>
    <x v="2"/>
    <s v="Delhi"/>
    <s v="Delhi"/>
    <x v="0"/>
    <s v="Chair"/>
    <s v="Chair"/>
    <x v="2"/>
    <x v="1"/>
    <n v="3"/>
    <n v="49829"/>
    <n v="0"/>
    <n v="149487"/>
    <n v="12244.54"/>
  </r>
  <r>
    <x v="185"/>
    <x v="155"/>
    <x v="0"/>
    <s v="Odisha"/>
    <s v="Bhubaneswar"/>
    <x v="0"/>
    <s v="Sofa"/>
    <s v="Sofa"/>
    <x v="1"/>
    <x v="0"/>
    <n v="2"/>
    <n v="42217"/>
    <n v="15"/>
    <n v="71768.899999999994"/>
    <n v="12733.94"/>
  </r>
  <r>
    <x v="186"/>
    <x v="111"/>
    <x v="2"/>
    <s v="Chandigarh"/>
    <s v="Chandigarh"/>
    <x v="2"/>
    <s v="Stapler"/>
    <s v="Stapler"/>
    <x v="3"/>
    <x v="0"/>
    <n v="7"/>
    <n v="3361"/>
    <n v="5"/>
    <n v="22350.65"/>
    <n v="4442.38"/>
  </r>
  <r>
    <x v="187"/>
    <x v="156"/>
    <x v="3"/>
    <s v="Maharashtra"/>
    <s v="Mumbai"/>
    <x v="2"/>
    <s v="Stapler"/>
    <s v="Stapler"/>
    <x v="4"/>
    <x v="1"/>
    <n v="10"/>
    <n v="16822"/>
    <n v="5"/>
    <n v="159809"/>
    <n v="9322.0400000000009"/>
  </r>
  <r>
    <x v="188"/>
    <x v="157"/>
    <x v="2"/>
    <s v="Chandigarh"/>
    <s v="Chandigarh"/>
    <x v="2"/>
    <s v="Notebook"/>
    <s v="Notebook"/>
    <x v="2"/>
    <x v="1"/>
    <n v="2"/>
    <n v="39080"/>
    <n v="10"/>
    <n v="70344"/>
    <n v="12271.3"/>
  </r>
  <r>
    <x v="189"/>
    <x v="158"/>
    <x v="1"/>
    <s v="Tamil Nadu"/>
    <s v="Chennai"/>
    <x v="0"/>
    <s v="Table"/>
    <s v="Table"/>
    <x v="1"/>
    <x v="0"/>
    <n v="5"/>
    <n v="42845"/>
    <n v="15"/>
    <n v="182091.25"/>
    <n v="10645.12"/>
  </r>
  <r>
    <x v="190"/>
    <x v="159"/>
    <x v="0"/>
    <s v="Odisha"/>
    <s v="Bhubaneswar"/>
    <x v="1"/>
    <s v="Mobile"/>
    <s v="Mobile"/>
    <x v="4"/>
    <x v="0"/>
    <n v="2"/>
    <n v="15515"/>
    <n v="0"/>
    <n v="31030"/>
    <n v="8018.46"/>
  </r>
  <r>
    <x v="191"/>
    <x v="160"/>
    <x v="0"/>
    <s v="Odisha"/>
    <s v="Bhubaneswar"/>
    <x v="0"/>
    <s v="Desk"/>
    <s v="Desk"/>
    <x v="6"/>
    <x v="0"/>
    <n v="8"/>
    <n v="9537"/>
    <n v="15"/>
    <n v="64851.6"/>
    <n v="10455.25"/>
  </r>
  <r>
    <x v="192"/>
    <x v="161"/>
    <x v="0"/>
    <s v="Odisha"/>
    <s v="Bhubaneswar"/>
    <x v="0"/>
    <s v="Desk"/>
    <s v="Desk"/>
    <x v="7"/>
    <x v="0"/>
    <n v="1"/>
    <n v="29271"/>
    <n v="10"/>
    <n v="26343.9"/>
    <n v="5313.89"/>
  </r>
  <r>
    <x v="193"/>
    <x v="64"/>
    <x v="0"/>
    <s v="West Bengal"/>
    <s v="Kolkata"/>
    <x v="2"/>
    <s v="Stapler"/>
    <s v="Stapler"/>
    <x v="6"/>
    <x v="1"/>
    <n v="3"/>
    <n v="5508"/>
    <n v="10"/>
    <n v="14871.6"/>
    <n v="3742.61"/>
  </r>
  <r>
    <x v="194"/>
    <x v="162"/>
    <x v="1"/>
    <s v="Tamil Nadu"/>
    <s v="Chennai"/>
    <x v="0"/>
    <s v="Sofa"/>
    <s v="Sofa"/>
    <x v="1"/>
    <x v="1"/>
    <n v="2"/>
    <n v="39592"/>
    <n v="10"/>
    <n v="71265.600000000006"/>
    <n v="14910.18"/>
  </r>
  <r>
    <x v="195"/>
    <x v="163"/>
    <x v="0"/>
    <s v="Odisha"/>
    <s v="Bhubaneswar"/>
    <x v="1"/>
    <s v="Monitor"/>
    <s v="Monitor"/>
    <x v="5"/>
    <x v="1"/>
    <n v="5"/>
    <n v="42414"/>
    <n v="15"/>
    <n v="180259.5"/>
    <n v="17513.849999999999"/>
  </r>
  <r>
    <x v="196"/>
    <x v="164"/>
    <x v="0"/>
    <s v="West Bengal"/>
    <s v="Kolkata"/>
    <x v="2"/>
    <s v="Notebook"/>
    <s v="Notebook"/>
    <x v="4"/>
    <x v="0"/>
    <n v="7"/>
    <n v="33250"/>
    <n v="10"/>
    <n v="209475"/>
    <n v="54528.87"/>
  </r>
  <r>
    <x v="197"/>
    <x v="158"/>
    <x v="3"/>
    <s v="Gujarat"/>
    <s v="Ahmedabad"/>
    <x v="1"/>
    <s v="Laptop"/>
    <s v="Laptop"/>
    <x v="4"/>
    <x v="0"/>
    <n v="4"/>
    <n v="8331"/>
    <n v="0"/>
    <n v="33324"/>
    <n v="3090.46"/>
  </r>
  <r>
    <x v="198"/>
    <x v="165"/>
    <x v="1"/>
    <s v="Karnataka"/>
    <s v="Bengaluru"/>
    <x v="1"/>
    <s v="Keyboard"/>
    <s v="Keyboard"/>
    <x v="6"/>
    <x v="0"/>
    <n v="7"/>
    <n v="42617"/>
    <n v="15"/>
    <n v="253571.15"/>
    <n v="44381.53"/>
  </r>
  <r>
    <x v="199"/>
    <x v="166"/>
    <x v="2"/>
    <s v="Delhi"/>
    <s v="Delhi"/>
    <x v="0"/>
    <s v="Desk"/>
    <s v="Desk"/>
    <x v="6"/>
    <x v="0"/>
    <n v="4"/>
    <n v="48208"/>
    <n v="5"/>
    <n v="183190.39999999999"/>
    <n v="37436.07"/>
  </r>
  <r>
    <x v="200"/>
    <x v="167"/>
    <x v="3"/>
    <s v="Gujarat"/>
    <s v="Ahmedabad"/>
    <x v="0"/>
    <s v="Sofa"/>
    <s v="Sofa"/>
    <x v="2"/>
    <x v="1"/>
    <n v="4"/>
    <n v="8223"/>
    <n v="5"/>
    <n v="31247.4"/>
    <n v="5948.79"/>
  </r>
  <r>
    <x v="201"/>
    <x v="94"/>
    <x v="3"/>
    <s v="Maharashtra"/>
    <s v="Mumbai"/>
    <x v="1"/>
    <s v="Keyboard"/>
    <s v="Keyboard"/>
    <x v="0"/>
    <x v="1"/>
    <n v="10"/>
    <n v="9863"/>
    <n v="5"/>
    <n v="93698.5"/>
    <n v="7154.53"/>
  </r>
  <r>
    <x v="202"/>
    <x v="168"/>
    <x v="3"/>
    <s v="Maharashtra"/>
    <s v="Mumbai"/>
    <x v="0"/>
    <s v="Sofa"/>
    <s v="Sofa"/>
    <x v="2"/>
    <x v="0"/>
    <n v="4"/>
    <n v="49889"/>
    <n v="0"/>
    <n v="199556"/>
    <n v="24307.41"/>
  </r>
  <r>
    <x v="203"/>
    <x v="121"/>
    <x v="3"/>
    <s v="Gujarat"/>
    <s v="Ahmedabad"/>
    <x v="2"/>
    <s v="Printer Paper"/>
    <s v="Printer Paper"/>
    <x v="0"/>
    <x v="1"/>
    <n v="1"/>
    <n v="42247"/>
    <n v="15"/>
    <n v="35909.949999999997"/>
    <n v="10281.64"/>
  </r>
  <r>
    <x v="204"/>
    <x v="154"/>
    <x v="3"/>
    <s v="Gujarat"/>
    <s v="Ahmedabad"/>
    <x v="0"/>
    <s v="Sofa"/>
    <s v="Sofa"/>
    <x v="4"/>
    <x v="0"/>
    <n v="10"/>
    <n v="45106"/>
    <n v="0"/>
    <n v="451060"/>
    <n v="43871.02"/>
  </r>
  <r>
    <x v="205"/>
    <x v="162"/>
    <x v="1"/>
    <s v="Tamil Nadu"/>
    <s v="Chennai"/>
    <x v="2"/>
    <s v="Printer Paper"/>
    <s v="Printer Paper"/>
    <x v="3"/>
    <x v="0"/>
    <n v="7"/>
    <n v="20048"/>
    <n v="10"/>
    <n v="126302.39999999999"/>
    <n v="31884.98"/>
  </r>
  <r>
    <x v="206"/>
    <x v="169"/>
    <x v="3"/>
    <s v="Maharashtra"/>
    <s v="Mumbai"/>
    <x v="0"/>
    <s v="Table"/>
    <s v="Table"/>
    <x v="0"/>
    <x v="0"/>
    <n v="9"/>
    <n v="23276"/>
    <n v="0"/>
    <n v="209484"/>
    <n v="44475.06"/>
  </r>
  <r>
    <x v="207"/>
    <x v="137"/>
    <x v="2"/>
    <s v="Delhi"/>
    <s v="Delhi"/>
    <x v="1"/>
    <s v="Laptop"/>
    <s v="Laptop"/>
    <x v="5"/>
    <x v="0"/>
    <n v="10"/>
    <n v="9659"/>
    <n v="15"/>
    <n v="82101.5"/>
    <n v="19123.71"/>
  </r>
  <r>
    <x v="208"/>
    <x v="170"/>
    <x v="1"/>
    <s v="Tamil Nadu"/>
    <s v="Chennai"/>
    <x v="0"/>
    <s v="Desk"/>
    <s v="Desk"/>
    <x v="2"/>
    <x v="0"/>
    <n v="9"/>
    <n v="18118"/>
    <n v="10"/>
    <n v="146755.79999999999"/>
    <n v="15281.3"/>
  </r>
  <r>
    <x v="209"/>
    <x v="171"/>
    <x v="0"/>
    <s v="Odisha"/>
    <s v="Bhubaneswar"/>
    <x v="2"/>
    <s v="Printer Paper"/>
    <s v="Printer Paper"/>
    <x v="5"/>
    <x v="0"/>
    <n v="8"/>
    <n v="23101"/>
    <n v="5"/>
    <n v="175567.6"/>
    <n v="17726.07"/>
  </r>
  <r>
    <x v="210"/>
    <x v="172"/>
    <x v="3"/>
    <s v="Gujarat"/>
    <s v="Ahmedabad"/>
    <x v="0"/>
    <s v="Table"/>
    <s v="Table"/>
    <x v="3"/>
    <x v="1"/>
    <n v="4"/>
    <n v="45334"/>
    <n v="20"/>
    <n v="145068.79999999999"/>
    <n v="16301.64"/>
  </r>
  <r>
    <x v="211"/>
    <x v="109"/>
    <x v="0"/>
    <s v="Odisha"/>
    <s v="Bhubaneswar"/>
    <x v="1"/>
    <s v="Monitor"/>
    <s v="Monitor"/>
    <x v="3"/>
    <x v="0"/>
    <n v="8"/>
    <n v="28908"/>
    <n v="0"/>
    <n v="231264"/>
    <n v="41337.199999999997"/>
  </r>
  <r>
    <x v="212"/>
    <x v="173"/>
    <x v="0"/>
    <s v="Odisha"/>
    <s v="Bhubaneswar"/>
    <x v="1"/>
    <s v="Monitor"/>
    <s v="Monitor"/>
    <x v="2"/>
    <x v="0"/>
    <n v="9"/>
    <n v="35872"/>
    <n v="20"/>
    <n v="258278.39999999999"/>
    <n v="75600.95"/>
  </r>
  <r>
    <x v="213"/>
    <x v="174"/>
    <x v="0"/>
    <s v="West Bengal"/>
    <s v="Kolkata"/>
    <x v="0"/>
    <s v="Sofa"/>
    <s v="Sofa"/>
    <x v="7"/>
    <x v="1"/>
    <n v="5"/>
    <n v="4692"/>
    <n v="0"/>
    <n v="23460"/>
    <n v="1573.67"/>
  </r>
  <r>
    <x v="214"/>
    <x v="175"/>
    <x v="2"/>
    <s v="Delhi"/>
    <s v="Delhi"/>
    <x v="0"/>
    <s v="Sofa"/>
    <s v="Sofa"/>
    <x v="0"/>
    <x v="1"/>
    <n v="6"/>
    <n v="13353"/>
    <n v="5"/>
    <n v="76112.100000000006"/>
    <n v="11376.87"/>
  </r>
  <r>
    <x v="215"/>
    <x v="176"/>
    <x v="0"/>
    <s v="West Bengal"/>
    <s v="Kolkata"/>
    <x v="2"/>
    <s v="Stapler"/>
    <s v="Stapler"/>
    <x v="1"/>
    <x v="0"/>
    <n v="1"/>
    <n v="24769"/>
    <n v="15"/>
    <n v="21053.65"/>
    <n v="3434.13"/>
  </r>
  <r>
    <x v="216"/>
    <x v="156"/>
    <x v="0"/>
    <s v="Odisha"/>
    <s v="Bhubaneswar"/>
    <x v="0"/>
    <s v="Chair"/>
    <s v="Chair"/>
    <x v="3"/>
    <x v="1"/>
    <n v="5"/>
    <n v="23600"/>
    <n v="20"/>
    <n v="94400"/>
    <n v="17852.89"/>
  </r>
  <r>
    <x v="217"/>
    <x v="177"/>
    <x v="3"/>
    <s v="Gujarat"/>
    <s v="Ahmedabad"/>
    <x v="2"/>
    <s v="Notebook"/>
    <s v="Notebook"/>
    <x v="1"/>
    <x v="0"/>
    <n v="1"/>
    <n v="28040"/>
    <n v="10"/>
    <n v="25236"/>
    <n v="6525.57"/>
  </r>
  <r>
    <x v="218"/>
    <x v="3"/>
    <x v="1"/>
    <s v="Karnataka"/>
    <s v="Bengaluru"/>
    <x v="0"/>
    <s v="Desk"/>
    <s v="Desk"/>
    <x v="2"/>
    <x v="0"/>
    <n v="7"/>
    <n v="10109"/>
    <n v="5"/>
    <n v="67224.850000000006"/>
    <n v="4020.82"/>
  </r>
  <r>
    <x v="219"/>
    <x v="178"/>
    <x v="0"/>
    <s v="Odisha"/>
    <s v="Bhubaneswar"/>
    <x v="0"/>
    <s v="Sofa"/>
    <s v="Sofa"/>
    <x v="4"/>
    <x v="0"/>
    <n v="4"/>
    <n v="31895"/>
    <n v="0"/>
    <n v="127580"/>
    <n v="9909.81"/>
  </r>
  <r>
    <x v="220"/>
    <x v="179"/>
    <x v="2"/>
    <s v="Delhi"/>
    <s v="Delhi"/>
    <x v="0"/>
    <s v="Desk"/>
    <s v="Desk"/>
    <x v="6"/>
    <x v="0"/>
    <n v="6"/>
    <n v="23884"/>
    <n v="5"/>
    <n v="136138.79999999999"/>
    <n v="25223.59"/>
  </r>
  <r>
    <x v="221"/>
    <x v="180"/>
    <x v="1"/>
    <s v="Tamil Nadu"/>
    <s v="Chennai"/>
    <x v="0"/>
    <s v="Desk"/>
    <s v="Desk"/>
    <x v="6"/>
    <x v="1"/>
    <n v="8"/>
    <n v="25798"/>
    <n v="5"/>
    <n v="196064.8"/>
    <n v="51496.31"/>
  </r>
  <r>
    <x v="222"/>
    <x v="172"/>
    <x v="3"/>
    <s v="Maharashtra"/>
    <s v="Mumbai"/>
    <x v="2"/>
    <s v="Notebook"/>
    <s v="Notebook"/>
    <x v="2"/>
    <x v="1"/>
    <n v="1"/>
    <n v="774"/>
    <n v="20"/>
    <n v="619.20000000000005"/>
    <n v="115.8"/>
  </r>
  <r>
    <x v="223"/>
    <x v="181"/>
    <x v="0"/>
    <s v="West Bengal"/>
    <s v="Kolkata"/>
    <x v="0"/>
    <s v="Desk"/>
    <s v="Desk"/>
    <x v="7"/>
    <x v="1"/>
    <n v="8"/>
    <n v="11253"/>
    <n v="0"/>
    <n v="90024"/>
    <n v="14327.41"/>
  </r>
  <r>
    <x v="224"/>
    <x v="182"/>
    <x v="2"/>
    <s v="Delhi"/>
    <s v="Delhi"/>
    <x v="2"/>
    <s v="Pen"/>
    <s v="Pen"/>
    <x v="1"/>
    <x v="1"/>
    <n v="1"/>
    <n v="11865"/>
    <n v="10"/>
    <n v="10678.5"/>
    <n v="2398.54"/>
  </r>
  <r>
    <x v="225"/>
    <x v="183"/>
    <x v="0"/>
    <s v="West Bengal"/>
    <s v="Kolkata"/>
    <x v="1"/>
    <s v="Keyboard"/>
    <s v="Keyboard"/>
    <x v="4"/>
    <x v="0"/>
    <n v="6"/>
    <n v="41369"/>
    <n v="5"/>
    <n v="235803.3"/>
    <n v="46597.21"/>
  </r>
  <r>
    <x v="226"/>
    <x v="184"/>
    <x v="2"/>
    <s v="Delhi"/>
    <s v="Delhi"/>
    <x v="2"/>
    <s v="Pen"/>
    <s v="Pen"/>
    <x v="0"/>
    <x v="0"/>
    <n v="6"/>
    <n v="30510"/>
    <n v="0"/>
    <n v="183060"/>
    <n v="12331.4"/>
  </r>
  <r>
    <x v="227"/>
    <x v="169"/>
    <x v="3"/>
    <s v="Maharashtra"/>
    <s v="Mumbai"/>
    <x v="1"/>
    <s v="Monitor"/>
    <s v="Monitor"/>
    <x v="6"/>
    <x v="1"/>
    <n v="10"/>
    <n v="23601"/>
    <n v="15"/>
    <n v="200608.5"/>
    <n v="42620.7"/>
  </r>
  <r>
    <x v="228"/>
    <x v="185"/>
    <x v="1"/>
    <s v="Karnataka"/>
    <s v="Bengaluru"/>
    <x v="2"/>
    <s v="Stapler"/>
    <s v="Stapler"/>
    <x v="7"/>
    <x v="0"/>
    <n v="2"/>
    <n v="13384"/>
    <n v="20"/>
    <n v="21414.400000000001"/>
    <n v="1229.71"/>
  </r>
  <r>
    <x v="229"/>
    <x v="141"/>
    <x v="0"/>
    <s v="West Bengal"/>
    <s v="Kolkata"/>
    <x v="1"/>
    <s v="Laptop"/>
    <s v="Laptop"/>
    <x v="4"/>
    <x v="1"/>
    <n v="3"/>
    <n v="22891"/>
    <n v="0"/>
    <n v="68673"/>
    <n v="5469.01"/>
  </r>
  <r>
    <x v="230"/>
    <x v="186"/>
    <x v="0"/>
    <s v="Odisha"/>
    <s v="Bhubaneswar"/>
    <x v="1"/>
    <s v="Monitor"/>
    <s v="Monitor"/>
    <x v="4"/>
    <x v="0"/>
    <n v="9"/>
    <n v="19371"/>
    <n v="10"/>
    <n v="156905.1"/>
    <n v="37604.17"/>
  </r>
  <r>
    <x v="231"/>
    <x v="187"/>
    <x v="2"/>
    <s v="Chandigarh"/>
    <s v="Chandigarh"/>
    <x v="1"/>
    <s v="Monitor"/>
    <s v="Monitor"/>
    <x v="2"/>
    <x v="1"/>
    <n v="9"/>
    <n v="12305"/>
    <n v="0"/>
    <n v="110745"/>
    <n v="15066.54"/>
  </r>
  <r>
    <x v="232"/>
    <x v="188"/>
    <x v="0"/>
    <s v="Odisha"/>
    <s v="Bhubaneswar"/>
    <x v="1"/>
    <s v="Monitor"/>
    <s v="Monitor"/>
    <x v="5"/>
    <x v="1"/>
    <n v="6"/>
    <n v="23291"/>
    <n v="5"/>
    <n v="132758.70000000001"/>
    <n v="6688.84"/>
  </r>
  <r>
    <x v="233"/>
    <x v="189"/>
    <x v="3"/>
    <s v="Gujarat"/>
    <s v="Ahmedabad"/>
    <x v="2"/>
    <s v="Printer Paper"/>
    <s v="Printer Paper"/>
    <x v="5"/>
    <x v="0"/>
    <n v="3"/>
    <n v="34073"/>
    <n v="0"/>
    <n v="102219"/>
    <n v="21031.91"/>
  </r>
  <r>
    <x v="234"/>
    <x v="190"/>
    <x v="2"/>
    <s v="Delhi"/>
    <s v="Delhi"/>
    <x v="0"/>
    <s v="Desk"/>
    <s v="Desk"/>
    <x v="1"/>
    <x v="1"/>
    <n v="10"/>
    <n v="22607"/>
    <n v="10"/>
    <n v="203463"/>
    <n v="30747.61"/>
  </r>
  <r>
    <x v="235"/>
    <x v="191"/>
    <x v="2"/>
    <s v="Delhi"/>
    <s v="Delhi"/>
    <x v="2"/>
    <s v="Notebook"/>
    <s v="Notebook"/>
    <x v="7"/>
    <x v="0"/>
    <n v="10"/>
    <n v="21802"/>
    <n v="15"/>
    <n v="185317"/>
    <n v="20368.87"/>
  </r>
  <r>
    <x v="236"/>
    <x v="192"/>
    <x v="2"/>
    <s v="Delhi"/>
    <s v="Delhi"/>
    <x v="1"/>
    <s v="Laptop"/>
    <s v="Laptop"/>
    <x v="1"/>
    <x v="1"/>
    <n v="6"/>
    <n v="3393"/>
    <n v="20"/>
    <n v="16286.4"/>
    <n v="1779.74"/>
  </r>
  <r>
    <x v="237"/>
    <x v="193"/>
    <x v="0"/>
    <s v="West Bengal"/>
    <s v="Kolkata"/>
    <x v="2"/>
    <s v="Pen"/>
    <s v="Pen"/>
    <x v="2"/>
    <x v="1"/>
    <n v="1"/>
    <n v="25203"/>
    <n v="5"/>
    <n v="23942.85"/>
    <n v="6534.68"/>
  </r>
  <r>
    <x v="238"/>
    <x v="194"/>
    <x v="2"/>
    <s v="Delhi"/>
    <s v="Delhi"/>
    <x v="1"/>
    <s v="Monitor"/>
    <s v="Monitor"/>
    <x v="2"/>
    <x v="1"/>
    <n v="1"/>
    <n v="15924"/>
    <n v="20"/>
    <n v="12739.2"/>
    <n v="3101.13"/>
  </r>
  <r>
    <x v="239"/>
    <x v="72"/>
    <x v="1"/>
    <s v="Tamil Nadu"/>
    <s v="Chennai"/>
    <x v="0"/>
    <s v="Desk"/>
    <s v="Desk"/>
    <x v="3"/>
    <x v="0"/>
    <n v="6"/>
    <n v="13202"/>
    <n v="15"/>
    <n v="67330.2"/>
    <n v="5064.1499999999996"/>
  </r>
  <r>
    <x v="240"/>
    <x v="195"/>
    <x v="1"/>
    <s v="Tamil Nadu"/>
    <s v="Chennai"/>
    <x v="0"/>
    <s v="Sofa"/>
    <s v="Sofa"/>
    <x v="4"/>
    <x v="1"/>
    <n v="1"/>
    <n v="46095"/>
    <n v="15"/>
    <n v="39180.75"/>
    <n v="5805.74"/>
  </r>
  <r>
    <x v="241"/>
    <x v="196"/>
    <x v="0"/>
    <s v="Odisha"/>
    <s v="Bhubaneswar"/>
    <x v="0"/>
    <s v="Table"/>
    <s v="Table"/>
    <x v="6"/>
    <x v="1"/>
    <n v="6"/>
    <n v="25687"/>
    <n v="10"/>
    <n v="138709.79999999999"/>
    <n v="17725.12"/>
  </r>
  <r>
    <x v="242"/>
    <x v="197"/>
    <x v="1"/>
    <s v="Tamil Nadu"/>
    <s v="Chennai"/>
    <x v="2"/>
    <s v="Stapler"/>
    <s v="Stapler"/>
    <x v="0"/>
    <x v="0"/>
    <n v="6"/>
    <n v="39135"/>
    <n v="15"/>
    <n v="199588.5"/>
    <n v="24940.23"/>
  </r>
  <r>
    <x v="243"/>
    <x v="198"/>
    <x v="3"/>
    <s v="Maharashtra"/>
    <s v="Mumbai"/>
    <x v="2"/>
    <s v="Stapler"/>
    <s v="Stapler"/>
    <x v="7"/>
    <x v="0"/>
    <n v="2"/>
    <n v="49926"/>
    <n v="0"/>
    <n v="99852"/>
    <n v="20080.91"/>
  </r>
  <r>
    <x v="244"/>
    <x v="102"/>
    <x v="3"/>
    <s v="Maharashtra"/>
    <s v="Mumbai"/>
    <x v="1"/>
    <s v="Mobile"/>
    <s v="Mobile"/>
    <x v="5"/>
    <x v="1"/>
    <n v="9"/>
    <n v="24432"/>
    <n v="15"/>
    <n v="186904.8"/>
    <n v="48117.440000000002"/>
  </r>
  <r>
    <x v="245"/>
    <x v="39"/>
    <x v="0"/>
    <s v="Odisha"/>
    <s v="Bhubaneswar"/>
    <x v="2"/>
    <s v="Notebook"/>
    <s v="Notebook"/>
    <x v="5"/>
    <x v="0"/>
    <n v="10"/>
    <n v="19460"/>
    <n v="10"/>
    <n v="175140"/>
    <n v="52057.09"/>
  </r>
  <r>
    <x v="246"/>
    <x v="199"/>
    <x v="2"/>
    <s v="Chandigarh"/>
    <s v="Chandigarh"/>
    <x v="1"/>
    <s v="Keyboard"/>
    <s v="Keyboard"/>
    <x v="7"/>
    <x v="0"/>
    <n v="10"/>
    <n v="28533"/>
    <n v="15"/>
    <n v="242530.5"/>
    <n v="41793.86"/>
  </r>
  <r>
    <x v="247"/>
    <x v="60"/>
    <x v="0"/>
    <s v="West Bengal"/>
    <s v="Kolkata"/>
    <x v="2"/>
    <s v="Printer Paper"/>
    <s v="Printer Paper"/>
    <x v="4"/>
    <x v="0"/>
    <n v="1"/>
    <n v="47928"/>
    <n v="10"/>
    <n v="43135.199999999997"/>
    <n v="3137.32"/>
  </r>
  <r>
    <x v="248"/>
    <x v="160"/>
    <x v="3"/>
    <s v="Gujarat"/>
    <s v="Ahmedabad"/>
    <x v="0"/>
    <s v="Table"/>
    <s v="Table"/>
    <x v="6"/>
    <x v="0"/>
    <n v="4"/>
    <n v="45415"/>
    <n v="15"/>
    <n v="154411"/>
    <n v="29002.67"/>
  </r>
  <r>
    <x v="249"/>
    <x v="100"/>
    <x v="3"/>
    <s v="Maharashtra"/>
    <s v="Mumbai"/>
    <x v="2"/>
    <s v="Stapler"/>
    <s v="Stapler"/>
    <x v="0"/>
    <x v="0"/>
    <n v="2"/>
    <n v="49238"/>
    <n v="15"/>
    <n v="83704.600000000006"/>
    <n v="18442.12"/>
  </r>
  <r>
    <x v="250"/>
    <x v="191"/>
    <x v="0"/>
    <s v="Odisha"/>
    <s v="Bhubaneswar"/>
    <x v="1"/>
    <s v="Mobile"/>
    <s v="Mobile"/>
    <x v="5"/>
    <x v="0"/>
    <n v="3"/>
    <n v="43344"/>
    <n v="0"/>
    <n v="130032"/>
    <n v="27906.05"/>
  </r>
  <r>
    <x v="251"/>
    <x v="200"/>
    <x v="0"/>
    <s v="Odisha"/>
    <s v="Bhubaneswar"/>
    <x v="1"/>
    <s v="Laptop"/>
    <s v="Laptop"/>
    <x v="6"/>
    <x v="0"/>
    <n v="6"/>
    <n v="9892"/>
    <n v="10"/>
    <n v="53416.800000000003"/>
    <n v="15363.43"/>
  </r>
  <r>
    <x v="252"/>
    <x v="73"/>
    <x v="3"/>
    <s v="Maharashtra"/>
    <s v="Mumbai"/>
    <x v="1"/>
    <s v="Keyboard"/>
    <s v="Keyboard"/>
    <x v="7"/>
    <x v="0"/>
    <n v="10"/>
    <n v="39594"/>
    <n v="20"/>
    <n v="316752"/>
    <n v="71749.64"/>
  </r>
  <r>
    <x v="253"/>
    <x v="201"/>
    <x v="3"/>
    <s v="Maharashtra"/>
    <s v="Mumbai"/>
    <x v="2"/>
    <s v="Pen"/>
    <s v="Pen"/>
    <x v="7"/>
    <x v="0"/>
    <n v="1"/>
    <n v="20317"/>
    <n v="5"/>
    <n v="19301.150000000001"/>
    <n v="3683.89"/>
  </r>
  <r>
    <x v="254"/>
    <x v="202"/>
    <x v="2"/>
    <s v="Chandigarh"/>
    <s v="Chandigarh"/>
    <x v="2"/>
    <s v="Stapler"/>
    <s v="Stapler"/>
    <x v="6"/>
    <x v="1"/>
    <n v="2"/>
    <n v="1476"/>
    <n v="5"/>
    <n v="2804.4"/>
    <n v="520.48"/>
  </r>
  <r>
    <x v="255"/>
    <x v="203"/>
    <x v="0"/>
    <s v="Odisha"/>
    <s v="Bhubaneswar"/>
    <x v="1"/>
    <s v="Laptop"/>
    <s v="Laptop"/>
    <x v="2"/>
    <x v="1"/>
    <n v="7"/>
    <n v="31463"/>
    <n v="20"/>
    <n v="176192.8"/>
    <n v="9504.3700000000008"/>
  </r>
  <r>
    <x v="256"/>
    <x v="141"/>
    <x v="2"/>
    <s v="Delhi"/>
    <s v="Delhi"/>
    <x v="0"/>
    <s v="Chair"/>
    <s v="Chair"/>
    <x v="2"/>
    <x v="1"/>
    <n v="4"/>
    <n v="43612"/>
    <n v="15"/>
    <n v="148280.79999999999"/>
    <n v="38022.379999999997"/>
  </r>
  <r>
    <x v="257"/>
    <x v="40"/>
    <x v="2"/>
    <s v="Delhi"/>
    <s v="Delhi"/>
    <x v="2"/>
    <s v="Stapler"/>
    <s v="Stapler"/>
    <x v="7"/>
    <x v="0"/>
    <n v="6"/>
    <n v="37402"/>
    <n v="10"/>
    <n v="201970.8"/>
    <n v="15127.4"/>
  </r>
  <r>
    <x v="258"/>
    <x v="198"/>
    <x v="3"/>
    <s v="Maharashtra"/>
    <s v="Mumbai"/>
    <x v="0"/>
    <s v="Desk"/>
    <s v="Desk"/>
    <x v="3"/>
    <x v="0"/>
    <n v="10"/>
    <n v="40154"/>
    <n v="5"/>
    <n v="381463"/>
    <n v="99422.35"/>
  </r>
  <r>
    <x v="259"/>
    <x v="12"/>
    <x v="0"/>
    <s v="Odisha"/>
    <s v="Bhubaneswar"/>
    <x v="2"/>
    <s v="Notebook"/>
    <s v="Notebook"/>
    <x v="6"/>
    <x v="1"/>
    <n v="6"/>
    <n v="15724"/>
    <n v="15"/>
    <n v="80192.399999999994"/>
    <n v="4902.18"/>
  </r>
  <r>
    <x v="260"/>
    <x v="179"/>
    <x v="3"/>
    <s v="Gujarat"/>
    <s v="Ahmedabad"/>
    <x v="1"/>
    <s v="Laptop"/>
    <s v="Laptop"/>
    <x v="2"/>
    <x v="1"/>
    <n v="8"/>
    <n v="47495"/>
    <n v="15"/>
    <n v="322966"/>
    <n v="44143.21"/>
  </r>
  <r>
    <x v="261"/>
    <x v="204"/>
    <x v="0"/>
    <s v="Odisha"/>
    <s v="Bhubaneswar"/>
    <x v="2"/>
    <s v="Notebook"/>
    <s v="Notebook"/>
    <x v="0"/>
    <x v="1"/>
    <n v="7"/>
    <n v="20671"/>
    <n v="15"/>
    <n v="122992.45"/>
    <n v="26982.37"/>
  </r>
  <r>
    <x v="262"/>
    <x v="76"/>
    <x v="2"/>
    <s v="Chandigarh"/>
    <s v="Chandigarh"/>
    <x v="2"/>
    <s v="Printer Paper"/>
    <s v="Printer Paper"/>
    <x v="1"/>
    <x v="0"/>
    <n v="8"/>
    <n v="27636"/>
    <n v="5"/>
    <n v="210033.6"/>
    <n v="53423.07"/>
  </r>
  <r>
    <x v="263"/>
    <x v="172"/>
    <x v="0"/>
    <s v="Odisha"/>
    <s v="Bhubaneswar"/>
    <x v="2"/>
    <s v="Stapler"/>
    <s v="Stapler"/>
    <x v="3"/>
    <x v="1"/>
    <n v="2"/>
    <n v="46259"/>
    <n v="20"/>
    <n v="74014.399999999994"/>
    <n v="18833.400000000001"/>
  </r>
  <r>
    <x v="264"/>
    <x v="49"/>
    <x v="3"/>
    <s v="Maharashtra"/>
    <s v="Mumbai"/>
    <x v="0"/>
    <s v="Chair"/>
    <s v="Chair"/>
    <x v="0"/>
    <x v="0"/>
    <n v="4"/>
    <n v="47522"/>
    <n v="0"/>
    <n v="190088"/>
    <n v="33327.71"/>
  </r>
  <r>
    <x v="265"/>
    <x v="154"/>
    <x v="2"/>
    <s v="Chandigarh"/>
    <s v="Chandigarh"/>
    <x v="0"/>
    <s v="Chair"/>
    <s v="Chair"/>
    <x v="1"/>
    <x v="0"/>
    <n v="1"/>
    <n v="3520"/>
    <n v="5"/>
    <n v="3344"/>
    <n v="961.73"/>
  </r>
  <r>
    <x v="266"/>
    <x v="48"/>
    <x v="2"/>
    <s v="Delhi"/>
    <s v="Delhi"/>
    <x v="2"/>
    <s v="Stapler"/>
    <s v="Stapler"/>
    <x v="1"/>
    <x v="1"/>
    <n v="9"/>
    <n v="14666"/>
    <n v="0"/>
    <n v="131994"/>
    <n v="9610.39"/>
  </r>
  <r>
    <x v="267"/>
    <x v="205"/>
    <x v="3"/>
    <s v="Gujarat"/>
    <s v="Ahmedabad"/>
    <x v="0"/>
    <s v="Table"/>
    <s v="Table"/>
    <x v="1"/>
    <x v="1"/>
    <n v="6"/>
    <n v="9912"/>
    <n v="0"/>
    <n v="59472"/>
    <n v="8430.69"/>
  </r>
  <r>
    <x v="268"/>
    <x v="199"/>
    <x v="3"/>
    <s v="Gujarat"/>
    <s v="Ahmedabad"/>
    <x v="0"/>
    <s v="Chair"/>
    <s v="Chair"/>
    <x v="2"/>
    <x v="1"/>
    <n v="4"/>
    <n v="38343"/>
    <n v="20"/>
    <n v="122697.60000000001"/>
    <n v="14561.29"/>
  </r>
  <r>
    <x v="269"/>
    <x v="90"/>
    <x v="2"/>
    <s v="Chandigarh"/>
    <s v="Chandigarh"/>
    <x v="0"/>
    <s v="Chair"/>
    <s v="Chair"/>
    <x v="0"/>
    <x v="1"/>
    <n v="3"/>
    <n v="39488"/>
    <n v="20"/>
    <n v="94771.199999999997"/>
    <n v="27954.51"/>
  </r>
  <r>
    <x v="270"/>
    <x v="139"/>
    <x v="1"/>
    <s v="Tamil Nadu"/>
    <s v="Chennai"/>
    <x v="0"/>
    <s v="Sofa"/>
    <s v="Sofa"/>
    <x v="2"/>
    <x v="0"/>
    <n v="4"/>
    <n v="16352"/>
    <n v="15"/>
    <n v="55596.800000000003"/>
    <n v="15883.72"/>
  </r>
  <r>
    <x v="271"/>
    <x v="206"/>
    <x v="3"/>
    <s v="Gujarat"/>
    <s v="Ahmedabad"/>
    <x v="0"/>
    <s v="Sofa"/>
    <s v="Sofa"/>
    <x v="0"/>
    <x v="1"/>
    <n v="9"/>
    <n v="4028"/>
    <n v="20"/>
    <n v="29001.599999999999"/>
    <n v="4438.7299999999996"/>
  </r>
  <r>
    <x v="272"/>
    <x v="41"/>
    <x v="1"/>
    <s v="Karnataka"/>
    <s v="Bengaluru"/>
    <x v="1"/>
    <s v="Keyboard"/>
    <s v="Keyboard"/>
    <x v="4"/>
    <x v="1"/>
    <n v="9"/>
    <n v="29927"/>
    <n v="5"/>
    <n v="255875.85"/>
    <n v="19645.61"/>
  </r>
  <r>
    <x v="273"/>
    <x v="207"/>
    <x v="2"/>
    <s v="Chandigarh"/>
    <s v="Chandigarh"/>
    <x v="2"/>
    <s v="Notebook"/>
    <s v="Notebook"/>
    <x v="4"/>
    <x v="0"/>
    <n v="5"/>
    <n v="16308"/>
    <n v="0"/>
    <n v="81540"/>
    <n v="16781.84"/>
  </r>
  <r>
    <x v="274"/>
    <x v="208"/>
    <x v="2"/>
    <s v="Delhi"/>
    <s v="Delhi"/>
    <x v="2"/>
    <s v="Pen"/>
    <s v="Pen"/>
    <x v="7"/>
    <x v="0"/>
    <n v="7"/>
    <n v="25226"/>
    <n v="20"/>
    <n v="141265.60000000001"/>
    <n v="10746.7"/>
  </r>
  <r>
    <x v="275"/>
    <x v="209"/>
    <x v="3"/>
    <s v="Maharashtra"/>
    <s v="Mumbai"/>
    <x v="1"/>
    <s v="Laptop"/>
    <s v="Laptop"/>
    <x v="3"/>
    <x v="1"/>
    <n v="4"/>
    <n v="13881"/>
    <n v="0"/>
    <n v="55524"/>
    <n v="9350.4599999999991"/>
  </r>
  <r>
    <x v="276"/>
    <x v="210"/>
    <x v="0"/>
    <s v="Odisha"/>
    <s v="Bhubaneswar"/>
    <x v="2"/>
    <s v="Printer Paper"/>
    <s v="Printer Paper"/>
    <x v="4"/>
    <x v="0"/>
    <n v="6"/>
    <n v="42536"/>
    <n v="10"/>
    <n v="229694.4"/>
    <n v="65936.06"/>
  </r>
  <r>
    <x v="277"/>
    <x v="211"/>
    <x v="3"/>
    <s v="Gujarat"/>
    <s v="Ahmedabad"/>
    <x v="0"/>
    <s v="Sofa"/>
    <s v="Sofa"/>
    <x v="1"/>
    <x v="0"/>
    <n v="10"/>
    <n v="13904"/>
    <n v="20"/>
    <n v="111232"/>
    <n v="12731.44"/>
  </r>
  <r>
    <x v="278"/>
    <x v="212"/>
    <x v="1"/>
    <s v="Tamil Nadu"/>
    <s v="Chennai"/>
    <x v="0"/>
    <s v="Sofa"/>
    <s v="Sofa"/>
    <x v="5"/>
    <x v="1"/>
    <n v="4"/>
    <n v="18272"/>
    <n v="15"/>
    <n v="62124.800000000003"/>
    <n v="10823.08"/>
  </r>
  <r>
    <x v="279"/>
    <x v="213"/>
    <x v="3"/>
    <s v="Gujarat"/>
    <s v="Ahmedabad"/>
    <x v="0"/>
    <s v="Sofa"/>
    <s v="Sofa"/>
    <x v="1"/>
    <x v="1"/>
    <n v="2"/>
    <n v="32730"/>
    <n v="20"/>
    <n v="52368"/>
    <n v="9145.7999999999993"/>
  </r>
  <r>
    <x v="280"/>
    <x v="214"/>
    <x v="1"/>
    <s v="Karnataka"/>
    <s v="Bengaluru"/>
    <x v="2"/>
    <s v="Notebook"/>
    <s v="Notebook"/>
    <x v="4"/>
    <x v="1"/>
    <n v="7"/>
    <n v="46499"/>
    <n v="15"/>
    <n v="276669.05"/>
    <n v="62863.03"/>
  </r>
  <r>
    <x v="281"/>
    <x v="71"/>
    <x v="1"/>
    <s v="Tamil Nadu"/>
    <s v="Chennai"/>
    <x v="2"/>
    <s v="Pen"/>
    <s v="Pen"/>
    <x v="5"/>
    <x v="1"/>
    <n v="1"/>
    <n v="42454"/>
    <n v="20"/>
    <n v="33963.199999999997"/>
    <n v="10077.69"/>
  </r>
  <r>
    <x v="282"/>
    <x v="215"/>
    <x v="3"/>
    <s v="Gujarat"/>
    <s v="Ahmedabad"/>
    <x v="0"/>
    <s v="Sofa"/>
    <s v="Sofa"/>
    <x v="0"/>
    <x v="0"/>
    <n v="7"/>
    <n v="4396"/>
    <n v="15"/>
    <n v="26156.2"/>
    <n v="1699.04"/>
  </r>
  <r>
    <x v="283"/>
    <x v="216"/>
    <x v="1"/>
    <s v="Karnataka"/>
    <s v="Bengaluru"/>
    <x v="0"/>
    <s v="Sofa"/>
    <s v="Sofa"/>
    <x v="5"/>
    <x v="0"/>
    <n v="9"/>
    <n v="34532"/>
    <n v="20"/>
    <n v="248630.39999999999"/>
    <n v="25111.27"/>
  </r>
  <r>
    <x v="284"/>
    <x v="217"/>
    <x v="1"/>
    <s v="Tamil Nadu"/>
    <s v="Chennai"/>
    <x v="1"/>
    <s v="Mobile"/>
    <s v="Mobile"/>
    <x v="3"/>
    <x v="0"/>
    <n v="1"/>
    <n v="37266"/>
    <n v="10"/>
    <n v="33539.4"/>
    <n v="5655.86"/>
  </r>
  <r>
    <x v="285"/>
    <x v="108"/>
    <x v="2"/>
    <s v="Chandigarh"/>
    <s v="Chandigarh"/>
    <x v="0"/>
    <s v="Table"/>
    <s v="Table"/>
    <x v="3"/>
    <x v="0"/>
    <n v="9"/>
    <n v="46303"/>
    <n v="10"/>
    <n v="375054.3"/>
    <n v="42957"/>
  </r>
  <r>
    <x v="286"/>
    <x v="218"/>
    <x v="3"/>
    <s v="Maharashtra"/>
    <s v="Mumbai"/>
    <x v="0"/>
    <s v="Chair"/>
    <s v="Chair"/>
    <x v="3"/>
    <x v="1"/>
    <n v="7"/>
    <n v="2309"/>
    <n v="5"/>
    <n v="15354.85"/>
    <n v="1515.52"/>
  </r>
  <r>
    <x v="287"/>
    <x v="219"/>
    <x v="1"/>
    <s v="Tamil Nadu"/>
    <s v="Chennai"/>
    <x v="0"/>
    <s v="Table"/>
    <s v="Table"/>
    <x v="2"/>
    <x v="0"/>
    <n v="4"/>
    <n v="6508"/>
    <n v="10"/>
    <n v="23428.799999999999"/>
    <n v="5796.02"/>
  </r>
  <r>
    <x v="288"/>
    <x v="220"/>
    <x v="0"/>
    <s v="West Bengal"/>
    <s v="Kolkata"/>
    <x v="2"/>
    <s v="Stapler"/>
    <s v="Stapler"/>
    <x v="3"/>
    <x v="0"/>
    <n v="4"/>
    <n v="39009"/>
    <n v="0"/>
    <n v="156036"/>
    <n v="33991.870000000003"/>
  </r>
  <r>
    <x v="289"/>
    <x v="143"/>
    <x v="1"/>
    <s v="Karnataka"/>
    <s v="Bengaluru"/>
    <x v="2"/>
    <s v="Pen"/>
    <s v="Pen"/>
    <x v="4"/>
    <x v="0"/>
    <n v="4"/>
    <n v="3892"/>
    <n v="5"/>
    <n v="14789.6"/>
    <n v="4029.69"/>
  </r>
  <r>
    <x v="290"/>
    <x v="221"/>
    <x v="2"/>
    <s v="Chandigarh"/>
    <s v="Chandigarh"/>
    <x v="2"/>
    <s v="Stapler"/>
    <s v="Stapler"/>
    <x v="6"/>
    <x v="0"/>
    <n v="4"/>
    <n v="15359"/>
    <n v="20"/>
    <n v="49148.800000000003"/>
    <n v="12326.93"/>
  </r>
  <r>
    <x v="291"/>
    <x v="143"/>
    <x v="1"/>
    <s v="Tamil Nadu"/>
    <s v="Chennai"/>
    <x v="1"/>
    <s v="Mobile"/>
    <s v="Mobile"/>
    <x v="4"/>
    <x v="0"/>
    <n v="9"/>
    <n v="23064"/>
    <n v="10"/>
    <n v="186818.4"/>
    <n v="38025.94"/>
  </r>
  <r>
    <x v="292"/>
    <x v="217"/>
    <x v="2"/>
    <s v="Chandigarh"/>
    <s v="Chandigarh"/>
    <x v="2"/>
    <s v="Printer Paper"/>
    <s v="Printer Paper"/>
    <x v="6"/>
    <x v="1"/>
    <n v="4"/>
    <n v="49384"/>
    <n v="10"/>
    <n v="177782.39999999999"/>
    <n v="43307.31"/>
  </r>
  <r>
    <x v="293"/>
    <x v="188"/>
    <x v="1"/>
    <s v="Tamil Nadu"/>
    <s v="Chennai"/>
    <x v="0"/>
    <s v="Chair"/>
    <s v="Chair"/>
    <x v="3"/>
    <x v="0"/>
    <n v="5"/>
    <n v="13561"/>
    <n v="20"/>
    <n v="54244"/>
    <n v="3554.88"/>
  </r>
  <r>
    <x v="294"/>
    <x v="63"/>
    <x v="2"/>
    <s v="Chandigarh"/>
    <s v="Chandigarh"/>
    <x v="1"/>
    <s v="Laptop"/>
    <s v="Laptop"/>
    <x v="7"/>
    <x v="1"/>
    <n v="5"/>
    <n v="24631"/>
    <n v="0"/>
    <n v="123155"/>
    <n v="8201.2099999999991"/>
  </r>
  <r>
    <x v="295"/>
    <x v="222"/>
    <x v="2"/>
    <s v="Chandigarh"/>
    <s v="Chandigarh"/>
    <x v="2"/>
    <s v="Pen"/>
    <s v="Pen"/>
    <x v="1"/>
    <x v="1"/>
    <n v="9"/>
    <n v="20786"/>
    <n v="5"/>
    <n v="177720.3"/>
    <n v="36994.959999999999"/>
  </r>
  <r>
    <x v="296"/>
    <x v="88"/>
    <x v="1"/>
    <s v="Tamil Nadu"/>
    <s v="Chennai"/>
    <x v="1"/>
    <s v="Monitor"/>
    <s v="Monitor"/>
    <x v="3"/>
    <x v="0"/>
    <n v="7"/>
    <n v="22775"/>
    <n v="10"/>
    <n v="143482.5"/>
    <n v="11132.03"/>
  </r>
  <r>
    <x v="297"/>
    <x v="203"/>
    <x v="3"/>
    <s v="Gujarat"/>
    <s v="Ahmedabad"/>
    <x v="1"/>
    <s v="Monitor"/>
    <s v="Monitor"/>
    <x v="2"/>
    <x v="0"/>
    <n v="2"/>
    <n v="34747"/>
    <n v="5"/>
    <n v="66019.3"/>
    <n v="13599.3"/>
  </r>
  <r>
    <x v="298"/>
    <x v="20"/>
    <x v="2"/>
    <s v="Delhi"/>
    <s v="Delhi"/>
    <x v="0"/>
    <s v="Sofa"/>
    <s v="Sofa"/>
    <x v="7"/>
    <x v="0"/>
    <n v="6"/>
    <n v="7715"/>
    <n v="10"/>
    <n v="41661"/>
    <n v="6456.56"/>
  </r>
  <r>
    <x v="299"/>
    <x v="223"/>
    <x v="0"/>
    <s v="West Bengal"/>
    <s v="Kolkata"/>
    <x v="1"/>
    <s v="Keyboard"/>
    <s v="Keyboard"/>
    <x v="6"/>
    <x v="1"/>
    <n v="3"/>
    <n v="43215"/>
    <n v="10"/>
    <n v="116680.5"/>
    <n v="32896.21"/>
  </r>
  <r>
    <x v="300"/>
    <x v="224"/>
    <x v="1"/>
    <s v="Karnataka"/>
    <s v="Bengaluru"/>
    <x v="2"/>
    <s v="Printer Paper"/>
    <s v="Printer Paper"/>
    <x v="3"/>
    <x v="0"/>
    <n v="1"/>
    <n v="41695"/>
    <n v="0"/>
    <n v="41695"/>
    <n v="4818.25"/>
  </r>
  <r>
    <x v="301"/>
    <x v="225"/>
    <x v="2"/>
    <s v="Delhi"/>
    <s v="Delhi"/>
    <x v="2"/>
    <s v="Pen"/>
    <s v="Pen"/>
    <x v="1"/>
    <x v="0"/>
    <n v="4"/>
    <n v="19437"/>
    <n v="20"/>
    <n v="62198.400000000001"/>
    <n v="5855.1"/>
  </r>
  <r>
    <x v="302"/>
    <x v="82"/>
    <x v="2"/>
    <s v="Delhi"/>
    <s v="Delhi"/>
    <x v="0"/>
    <s v="Chair"/>
    <s v="Chair"/>
    <x v="4"/>
    <x v="0"/>
    <n v="5"/>
    <n v="23719"/>
    <n v="10"/>
    <n v="106735.5"/>
    <n v="7403.94"/>
  </r>
  <r>
    <x v="303"/>
    <x v="226"/>
    <x v="1"/>
    <s v="Karnataka"/>
    <s v="Bengaluru"/>
    <x v="1"/>
    <s v="Laptop"/>
    <s v="Laptop"/>
    <x v="3"/>
    <x v="0"/>
    <n v="10"/>
    <n v="17228"/>
    <n v="0"/>
    <n v="172280"/>
    <n v="46008.59"/>
  </r>
  <r>
    <x v="304"/>
    <x v="85"/>
    <x v="3"/>
    <s v="Maharashtra"/>
    <s v="Mumbai"/>
    <x v="0"/>
    <s v="Chair"/>
    <s v="Chair"/>
    <x v="2"/>
    <x v="0"/>
    <n v="9"/>
    <n v="31695"/>
    <n v="10"/>
    <n v="256729.5"/>
    <n v="28730.9"/>
  </r>
  <r>
    <x v="305"/>
    <x v="227"/>
    <x v="1"/>
    <s v="Karnataka"/>
    <s v="Bengaluru"/>
    <x v="1"/>
    <s v="Laptop"/>
    <s v="Laptop"/>
    <x v="2"/>
    <x v="0"/>
    <n v="8"/>
    <n v="37262"/>
    <n v="0"/>
    <n v="298096"/>
    <n v="34369.769999999997"/>
  </r>
  <r>
    <x v="306"/>
    <x v="228"/>
    <x v="0"/>
    <s v="West Bengal"/>
    <s v="Kolkata"/>
    <x v="0"/>
    <s v="Desk"/>
    <s v="Desk"/>
    <x v="4"/>
    <x v="0"/>
    <n v="6"/>
    <n v="31268"/>
    <n v="15"/>
    <n v="159466.79999999999"/>
    <n v="38012.58"/>
  </r>
  <r>
    <x v="307"/>
    <x v="229"/>
    <x v="2"/>
    <s v="Delhi"/>
    <s v="Delhi"/>
    <x v="2"/>
    <s v="Notebook"/>
    <s v="Notebook"/>
    <x v="3"/>
    <x v="0"/>
    <n v="7"/>
    <n v="35842"/>
    <n v="5"/>
    <n v="238349.3"/>
    <n v="32797.480000000003"/>
  </r>
  <r>
    <x v="308"/>
    <x v="69"/>
    <x v="3"/>
    <s v="Maharashtra"/>
    <s v="Mumbai"/>
    <x v="2"/>
    <s v="Stapler"/>
    <s v="Stapler"/>
    <x v="2"/>
    <x v="0"/>
    <n v="9"/>
    <n v="45201"/>
    <n v="20"/>
    <n v="325447.2"/>
    <n v="54235.63"/>
  </r>
  <r>
    <x v="309"/>
    <x v="95"/>
    <x v="1"/>
    <s v="Karnataka"/>
    <s v="Bengaluru"/>
    <x v="1"/>
    <s v="Mobile"/>
    <s v="Mobile"/>
    <x v="6"/>
    <x v="1"/>
    <n v="9"/>
    <n v="5475"/>
    <n v="15"/>
    <n v="41883.75"/>
    <n v="3863.06"/>
  </r>
  <r>
    <x v="310"/>
    <x v="230"/>
    <x v="2"/>
    <s v="Chandigarh"/>
    <s v="Chandigarh"/>
    <x v="1"/>
    <s v="Monitor"/>
    <s v="Monitor"/>
    <x v="1"/>
    <x v="0"/>
    <n v="10"/>
    <n v="24354"/>
    <n v="0"/>
    <n v="243540"/>
    <n v="40824.03"/>
  </r>
  <r>
    <x v="311"/>
    <x v="73"/>
    <x v="2"/>
    <s v="Chandigarh"/>
    <s v="Chandigarh"/>
    <x v="0"/>
    <s v="Table"/>
    <s v="Table"/>
    <x v="5"/>
    <x v="1"/>
    <n v="10"/>
    <n v="28613"/>
    <n v="20"/>
    <n v="228904"/>
    <n v="24262.65"/>
  </r>
  <r>
    <x v="312"/>
    <x v="231"/>
    <x v="2"/>
    <s v="Chandigarh"/>
    <s v="Chandigarh"/>
    <x v="1"/>
    <s v="Mobile"/>
    <s v="Mobile"/>
    <x v="0"/>
    <x v="0"/>
    <n v="1"/>
    <n v="49420"/>
    <n v="20"/>
    <n v="39536"/>
    <n v="6875.48"/>
  </r>
  <r>
    <x v="313"/>
    <x v="232"/>
    <x v="3"/>
    <s v="Maharashtra"/>
    <s v="Mumbai"/>
    <x v="1"/>
    <s v="Laptop"/>
    <s v="Laptop"/>
    <x v="4"/>
    <x v="1"/>
    <n v="10"/>
    <n v="45335"/>
    <n v="15"/>
    <n v="385347.5"/>
    <n v="47295.02"/>
  </r>
  <r>
    <x v="314"/>
    <x v="233"/>
    <x v="0"/>
    <s v="West Bengal"/>
    <s v="Kolkata"/>
    <x v="2"/>
    <s v="Pen"/>
    <s v="Pen"/>
    <x v="1"/>
    <x v="1"/>
    <n v="10"/>
    <n v="21363"/>
    <n v="5"/>
    <n v="202948.5"/>
    <n v="22583.84"/>
  </r>
  <r>
    <x v="315"/>
    <x v="204"/>
    <x v="1"/>
    <s v="Tamil Nadu"/>
    <s v="Chennai"/>
    <x v="1"/>
    <s v="Monitor"/>
    <s v="Monitor"/>
    <x v="1"/>
    <x v="1"/>
    <n v="8"/>
    <n v="37511"/>
    <n v="10"/>
    <n v="270079.2"/>
    <n v="21892.27"/>
  </r>
  <r>
    <x v="316"/>
    <x v="206"/>
    <x v="3"/>
    <s v="Gujarat"/>
    <s v="Ahmedabad"/>
    <x v="1"/>
    <s v="Mobile"/>
    <s v="Mobile"/>
    <x v="7"/>
    <x v="1"/>
    <n v="6"/>
    <n v="16666"/>
    <n v="15"/>
    <n v="84996.6"/>
    <n v="11972.02"/>
  </r>
  <r>
    <x v="317"/>
    <x v="234"/>
    <x v="0"/>
    <s v="Odisha"/>
    <s v="Bhubaneswar"/>
    <x v="2"/>
    <s v="Stapler"/>
    <s v="Stapler"/>
    <x v="7"/>
    <x v="1"/>
    <n v="5"/>
    <n v="3262"/>
    <n v="5"/>
    <n v="15494.5"/>
    <n v="4079.14"/>
  </r>
  <r>
    <x v="318"/>
    <x v="235"/>
    <x v="2"/>
    <s v="Delhi"/>
    <s v="Delhi"/>
    <x v="2"/>
    <s v="Printer Paper"/>
    <s v="Printer Paper"/>
    <x v="3"/>
    <x v="1"/>
    <n v="9"/>
    <n v="25923"/>
    <n v="5"/>
    <n v="221641.65"/>
    <n v="27495.91"/>
  </r>
  <r>
    <x v="319"/>
    <x v="236"/>
    <x v="1"/>
    <s v="Karnataka"/>
    <s v="Bengaluru"/>
    <x v="2"/>
    <s v="Notebook"/>
    <s v="Notebook"/>
    <x v="1"/>
    <x v="0"/>
    <n v="10"/>
    <n v="48775"/>
    <n v="15"/>
    <n v="414587.5"/>
    <n v="95262.47"/>
  </r>
  <r>
    <x v="320"/>
    <x v="237"/>
    <x v="1"/>
    <s v="Tamil Nadu"/>
    <s v="Chennai"/>
    <x v="1"/>
    <s v="Keyboard"/>
    <s v="Keyboard"/>
    <x v="4"/>
    <x v="0"/>
    <n v="7"/>
    <n v="31724"/>
    <n v="20"/>
    <n v="177654.39999999999"/>
    <n v="23652.33"/>
  </r>
  <r>
    <x v="321"/>
    <x v="238"/>
    <x v="3"/>
    <s v="Maharashtra"/>
    <s v="Mumbai"/>
    <x v="2"/>
    <s v="Notebook"/>
    <s v="Notebook"/>
    <x v="0"/>
    <x v="1"/>
    <n v="10"/>
    <n v="36946"/>
    <n v="5"/>
    <n v="350987"/>
    <n v="32608.77"/>
  </r>
  <r>
    <x v="322"/>
    <x v="21"/>
    <x v="1"/>
    <s v="Tamil Nadu"/>
    <s v="Chennai"/>
    <x v="1"/>
    <s v="Laptop"/>
    <s v="Laptop"/>
    <x v="7"/>
    <x v="1"/>
    <n v="3"/>
    <n v="49377"/>
    <n v="10"/>
    <n v="133317.9"/>
    <n v="36635.760000000002"/>
  </r>
  <r>
    <x v="323"/>
    <x v="239"/>
    <x v="3"/>
    <s v="Gujarat"/>
    <s v="Ahmedabad"/>
    <x v="2"/>
    <s v="Stapler"/>
    <s v="Stapler"/>
    <x v="2"/>
    <x v="0"/>
    <n v="6"/>
    <n v="43972"/>
    <n v="15"/>
    <n v="224257.2"/>
    <n v="15905.49"/>
  </r>
  <r>
    <x v="324"/>
    <x v="240"/>
    <x v="3"/>
    <s v="Maharashtra"/>
    <s v="Mumbai"/>
    <x v="1"/>
    <s v="Mobile"/>
    <s v="Mobile"/>
    <x v="7"/>
    <x v="1"/>
    <n v="7"/>
    <n v="14904"/>
    <n v="20"/>
    <n v="83462.399999999994"/>
    <n v="17627.14"/>
  </r>
  <r>
    <x v="325"/>
    <x v="241"/>
    <x v="1"/>
    <s v="Tamil Nadu"/>
    <s v="Chennai"/>
    <x v="0"/>
    <s v="Chair"/>
    <s v="Chair"/>
    <x v="4"/>
    <x v="1"/>
    <n v="10"/>
    <n v="2691"/>
    <n v="15"/>
    <n v="22873.5"/>
    <n v="5144.18"/>
  </r>
  <r>
    <x v="326"/>
    <x v="198"/>
    <x v="1"/>
    <s v="Tamil Nadu"/>
    <s v="Chennai"/>
    <x v="0"/>
    <s v="Sofa"/>
    <s v="Sofa"/>
    <x v="2"/>
    <x v="0"/>
    <n v="8"/>
    <n v="12702"/>
    <n v="15"/>
    <n v="86373.6"/>
    <n v="10599.88"/>
  </r>
  <r>
    <x v="327"/>
    <x v="242"/>
    <x v="3"/>
    <s v="Gujarat"/>
    <s v="Ahmedabad"/>
    <x v="1"/>
    <s v="Monitor"/>
    <s v="Monitor"/>
    <x v="4"/>
    <x v="1"/>
    <n v="1"/>
    <n v="5571"/>
    <n v="15"/>
    <n v="4735.3500000000004"/>
    <n v="985.08"/>
  </r>
  <r>
    <x v="328"/>
    <x v="243"/>
    <x v="0"/>
    <s v="West Bengal"/>
    <s v="Kolkata"/>
    <x v="2"/>
    <s v="Stapler"/>
    <s v="Stapler"/>
    <x v="1"/>
    <x v="1"/>
    <n v="8"/>
    <n v="32560"/>
    <n v="20"/>
    <n v="208384"/>
    <n v="17124.349999999999"/>
  </r>
  <r>
    <x v="329"/>
    <x v="25"/>
    <x v="1"/>
    <s v="Tamil Nadu"/>
    <s v="Chennai"/>
    <x v="2"/>
    <s v="Stapler"/>
    <s v="Stapler"/>
    <x v="4"/>
    <x v="0"/>
    <n v="10"/>
    <n v="49619"/>
    <n v="0"/>
    <n v="496190"/>
    <n v="89513.01"/>
  </r>
  <r>
    <x v="330"/>
    <x v="113"/>
    <x v="0"/>
    <s v="Odisha"/>
    <s v="Bhubaneswar"/>
    <x v="0"/>
    <s v="Table"/>
    <s v="Table"/>
    <x v="2"/>
    <x v="1"/>
    <n v="6"/>
    <n v="35239"/>
    <n v="10"/>
    <n v="190290.6"/>
    <n v="41646.339999999997"/>
  </r>
  <r>
    <x v="331"/>
    <x v="244"/>
    <x v="1"/>
    <s v="Tamil Nadu"/>
    <s v="Chennai"/>
    <x v="2"/>
    <s v="Notebook"/>
    <s v="Notebook"/>
    <x v="1"/>
    <x v="1"/>
    <n v="6"/>
    <n v="27919"/>
    <n v="0"/>
    <n v="167514"/>
    <n v="14469.96"/>
  </r>
  <r>
    <x v="332"/>
    <x v="245"/>
    <x v="1"/>
    <s v="Karnataka"/>
    <s v="Bengaluru"/>
    <x v="0"/>
    <s v="Desk"/>
    <s v="Desk"/>
    <x v="4"/>
    <x v="0"/>
    <n v="1"/>
    <n v="25938"/>
    <n v="0"/>
    <n v="25938"/>
    <n v="6916.95"/>
  </r>
  <r>
    <x v="333"/>
    <x v="156"/>
    <x v="3"/>
    <s v="Gujarat"/>
    <s v="Ahmedabad"/>
    <x v="0"/>
    <s v="Table"/>
    <s v="Table"/>
    <x v="0"/>
    <x v="1"/>
    <n v="9"/>
    <n v="23032"/>
    <n v="0"/>
    <n v="207288"/>
    <n v="48935.62"/>
  </r>
  <r>
    <x v="334"/>
    <x v="11"/>
    <x v="3"/>
    <s v="Maharashtra"/>
    <s v="Mumbai"/>
    <x v="1"/>
    <s v="Mobile"/>
    <s v="Mobile"/>
    <x v="6"/>
    <x v="0"/>
    <n v="9"/>
    <n v="15516"/>
    <n v="20"/>
    <n v="111715.2"/>
    <n v="26314.04"/>
  </r>
  <r>
    <x v="335"/>
    <x v="90"/>
    <x v="2"/>
    <s v="Delhi"/>
    <s v="Delhi"/>
    <x v="2"/>
    <s v="Notebook"/>
    <s v="Notebook"/>
    <x v="4"/>
    <x v="1"/>
    <n v="9"/>
    <n v="37664"/>
    <n v="15"/>
    <n v="288129.59999999998"/>
    <n v="71076.55"/>
  </r>
  <r>
    <x v="336"/>
    <x v="246"/>
    <x v="1"/>
    <s v="Karnataka"/>
    <s v="Bengaluru"/>
    <x v="1"/>
    <s v="Keyboard"/>
    <s v="Keyboard"/>
    <x v="1"/>
    <x v="0"/>
    <n v="2"/>
    <n v="35967"/>
    <n v="15"/>
    <n v="61143.9"/>
    <n v="18194.87"/>
  </r>
  <r>
    <x v="337"/>
    <x v="247"/>
    <x v="3"/>
    <s v="Maharashtra"/>
    <s v="Mumbai"/>
    <x v="2"/>
    <s v="Stapler"/>
    <s v="Stapler"/>
    <x v="4"/>
    <x v="0"/>
    <n v="5"/>
    <n v="45953"/>
    <n v="10"/>
    <n v="206788.5"/>
    <n v="18773.68"/>
  </r>
  <r>
    <x v="338"/>
    <x v="49"/>
    <x v="0"/>
    <s v="West Bengal"/>
    <s v="Kolkata"/>
    <x v="0"/>
    <s v="Sofa"/>
    <s v="Sofa"/>
    <x v="5"/>
    <x v="1"/>
    <n v="3"/>
    <n v="26374"/>
    <n v="5"/>
    <n v="75165.899999999994"/>
    <n v="21012.36"/>
  </r>
  <r>
    <x v="339"/>
    <x v="99"/>
    <x v="0"/>
    <s v="Odisha"/>
    <s v="Bhubaneswar"/>
    <x v="1"/>
    <s v="Keyboard"/>
    <s v="Keyboard"/>
    <x v="7"/>
    <x v="0"/>
    <n v="8"/>
    <n v="25485"/>
    <n v="5"/>
    <n v="193686"/>
    <n v="31340.79"/>
  </r>
  <r>
    <x v="340"/>
    <x v="248"/>
    <x v="1"/>
    <s v="Tamil Nadu"/>
    <s v="Chennai"/>
    <x v="0"/>
    <s v="Chair"/>
    <s v="Chair"/>
    <x v="4"/>
    <x v="1"/>
    <n v="7"/>
    <n v="7729"/>
    <n v="20"/>
    <n v="43282.400000000001"/>
    <n v="3601.5"/>
  </r>
  <r>
    <x v="341"/>
    <x v="249"/>
    <x v="1"/>
    <s v="Tamil Nadu"/>
    <s v="Chennai"/>
    <x v="2"/>
    <s v="Stapler"/>
    <s v="Stapler"/>
    <x v="2"/>
    <x v="1"/>
    <n v="6"/>
    <n v="16767"/>
    <n v="0"/>
    <n v="100602"/>
    <n v="18023.71"/>
  </r>
  <r>
    <x v="342"/>
    <x v="122"/>
    <x v="3"/>
    <s v="Maharashtra"/>
    <s v="Mumbai"/>
    <x v="2"/>
    <s v="Printer Paper"/>
    <s v="Printer Paper"/>
    <x v="2"/>
    <x v="0"/>
    <n v="7"/>
    <n v="28088"/>
    <n v="5"/>
    <n v="186785.2"/>
    <n v="53008.35"/>
  </r>
  <r>
    <x v="343"/>
    <x v="250"/>
    <x v="2"/>
    <s v="Delhi"/>
    <s v="Delhi"/>
    <x v="0"/>
    <s v="Chair"/>
    <s v="Chair"/>
    <x v="0"/>
    <x v="0"/>
    <n v="3"/>
    <n v="32804"/>
    <n v="5"/>
    <n v="93491.4"/>
    <n v="7688.37"/>
  </r>
  <r>
    <x v="344"/>
    <x v="5"/>
    <x v="0"/>
    <s v="West Bengal"/>
    <s v="Kolkata"/>
    <x v="1"/>
    <s v="Laptop"/>
    <s v="Laptop"/>
    <x v="4"/>
    <x v="1"/>
    <n v="6"/>
    <n v="3884"/>
    <n v="5"/>
    <n v="22138.799999999999"/>
    <n v="4145.74"/>
  </r>
  <r>
    <x v="345"/>
    <x v="251"/>
    <x v="3"/>
    <s v="Gujarat"/>
    <s v="Ahmedabad"/>
    <x v="2"/>
    <s v="Pen"/>
    <s v="Pen"/>
    <x v="7"/>
    <x v="1"/>
    <n v="9"/>
    <n v="43618"/>
    <n v="20"/>
    <n v="314049.59999999998"/>
    <n v="89733.38"/>
  </r>
  <r>
    <x v="346"/>
    <x v="119"/>
    <x v="2"/>
    <s v="Delhi"/>
    <s v="Delhi"/>
    <x v="1"/>
    <s v="Laptop"/>
    <s v="Laptop"/>
    <x v="2"/>
    <x v="1"/>
    <n v="9"/>
    <n v="31805"/>
    <n v="10"/>
    <n v="257620.5"/>
    <n v="74856.92"/>
  </r>
  <r>
    <x v="347"/>
    <x v="203"/>
    <x v="3"/>
    <s v="Maharashtra"/>
    <s v="Mumbai"/>
    <x v="0"/>
    <s v="Table"/>
    <s v="Table"/>
    <x v="5"/>
    <x v="0"/>
    <n v="7"/>
    <n v="4186"/>
    <n v="10"/>
    <n v="26371.8"/>
    <n v="3394.83"/>
  </r>
  <r>
    <x v="348"/>
    <x v="51"/>
    <x v="1"/>
    <s v="Tamil Nadu"/>
    <s v="Chennai"/>
    <x v="0"/>
    <s v="Desk"/>
    <s v="Desk"/>
    <x v="7"/>
    <x v="0"/>
    <n v="5"/>
    <n v="34214"/>
    <n v="20"/>
    <n v="136856"/>
    <n v="39302.69"/>
  </r>
  <r>
    <x v="349"/>
    <x v="154"/>
    <x v="1"/>
    <s v="Karnataka"/>
    <s v="Bengaluru"/>
    <x v="0"/>
    <s v="Sofa"/>
    <s v="Sofa"/>
    <x v="0"/>
    <x v="1"/>
    <n v="9"/>
    <n v="31320"/>
    <n v="5"/>
    <n v="267786"/>
    <n v="15495.54"/>
  </r>
  <r>
    <x v="350"/>
    <x v="239"/>
    <x v="3"/>
    <s v="Gujarat"/>
    <s v="Ahmedabad"/>
    <x v="2"/>
    <s v="Notebook"/>
    <s v="Notebook"/>
    <x v="5"/>
    <x v="0"/>
    <n v="8"/>
    <n v="27618"/>
    <n v="10"/>
    <n v="198849.6"/>
    <n v="12421.38"/>
  </r>
  <r>
    <x v="351"/>
    <x v="40"/>
    <x v="1"/>
    <s v="Karnataka"/>
    <s v="Bengaluru"/>
    <x v="1"/>
    <s v="Monitor"/>
    <s v="Monitor"/>
    <x v="6"/>
    <x v="1"/>
    <n v="2"/>
    <n v="49055"/>
    <n v="5"/>
    <n v="93204.5"/>
    <n v="7054.46"/>
  </r>
  <r>
    <x v="352"/>
    <x v="216"/>
    <x v="0"/>
    <s v="West Bengal"/>
    <s v="Kolkata"/>
    <x v="0"/>
    <s v="Sofa"/>
    <s v="Sofa"/>
    <x v="0"/>
    <x v="1"/>
    <n v="6"/>
    <n v="28207"/>
    <n v="0"/>
    <n v="169242"/>
    <n v="44935.45"/>
  </r>
  <r>
    <x v="353"/>
    <x v="252"/>
    <x v="1"/>
    <s v="Karnataka"/>
    <s v="Bengaluru"/>
    <x v="2"/>
    <s v="Pen"/>
    <s v="Pen"/>
    <x v="5"/>
    <x v="1"/>
    <n v="5"/>
    <n v="18462"/>
    <n v="15"/>
    <n v="78463.5"/>
    <n v="4284.47"/>
  </r>
  <r>
    <x v="354"/>
    <x v="28"/>
    <x v="1"/>
    <s v="Karnataka"/>
    <s v="Bengaluru"/>
    <x v="2"/>
    <s v="Stapler"/>
    <s v="Stapler"/>
    <x v="1"/>
    <x v="0"/>
    <n v="3"/>
    <n v="36884"/>
    <n v="20"/>
    <n v="88521.600000000006"/>
    <n v="12935.48"/>
  </r>
  <r>
    <x v="355"/>
    <x v="253"/>
    <x v="3"/>
    <s v="Maharashtra"/>
    <s v="Mumbai"/>
    <x v="2"/>
    <s v="Stapler"/>
    <s v="Stapler"/>
    <x v="0"/>
    <x v="0"/>
    <n v="7"/>
    <n v="18671"/>
    <n v="0"/>
    <n v="130697"/>
    <n v="14672.28"/>
  </r>
  <r>
    <x v="356"/>
    <x v="176"/>
    <x v="3"/>
    <s v="Maharashtra"/>
    <s v="Mumbai"/>
    <x v="1"/>
    <s v="Monitor"/>
    <s v="Monitor"/>
    <x v="2"/>
    <x v="1"/>
    <n v="6"/>
    <n v="25331"/>
    <n v="0"/>
    <n v="151986"/>
    <n v="12121.67"/>
  </r>
  <r>
    <x v="357"/>
    <x v="216"/>
    <x v="1"/>
    <s v="Tamil Nadu"/>
    <s v="Chennai"/>
    <x v="1"/>
    <s v="Monitor"/>
    <s v="Monitor"/>
    <x v="4"/>
    <x v="1"/>
    <n v="9"/>
    <n v="21307"/>
    <n v="10"/>
    <n v="172586.7"/>
    <n v="26683.24"/>
  </r>
  <r>
    <x v="358"/>
    <x v="254"/>
    <x v="1"/>
    <s v="Tamil Nadu"/>
    <s v="Chennai"/>
    <x v="2"/>
    <s v="Notebook"/>
    <s v="Notebook"/>
    <x v="4"/>
    <x v="0"/>
    <n v="4"/>
    <n v="45529"/>
    <n v="0"/>
    <n v="182116"/>
    <n v="46309.27"/>
  </r>
  <r>
    <x v="359"/>
    <x v="47"/>
    <x v="0"/>
    <s v="West Bengal"/>
    <s v="Kolkata"/>
    <x v="1"/>
    <s v="Mobile"/>
    <s v="Mobile"/>
    <x v="4"/>
    <x v="1"/>
    <n v="3"/>
    <n v="26744"/>
    <n v="0"/>
    <n v="80232"/>
    <n v="23617.119999999999"/>
  </r>
  <r>
    <x v="360"/>
    <x v="255"/>
    <x v="0"/>
    <s v="Odisha"/>
    <s v="Bhubaneswar"/>
    <x v="1"/>
    <s v="Monitor"/>
    <s v="Monitor"/>
    <x v="5"/>
    <x v="0"/>
    <n v="2"/>
    <n v="42110"/>
    <n v="20"/>
    <n v="67376"/>
    <n v="7060.89"/>
  </r>
  <r>
    <x v="361"/>
    <x v="53"/>
    <x v="2"/>
    <s v="Chandigarh"/>
    <s v="Chandigarh"/>
    <x v="1"/>
    <s v="Monitor"/>
    <s v="Monitor"/>
    <x v="2"/>
    <x v="1"/>
    <n v="10"/>
    <n v="9975"/>
    <n v="5"/>
    <n v="94762.5"/>
    <n v="9556.41"/>
  </r>
  <r>
    <x v="362"/>
    <x v="256"/>
    <x v="2"/>
    <s v="Chandigarh"/>
    <s v="Chandigarh"/>
    <x v="1"/>
    <s v="Monitor"/>
    <s v="Monitor"/>
    <x v="0"/>
    <x v="1"/>
    <n v="6"/>
    <n v="5544"/>
    <n v="20"/>
    <n v="26611.200000000001"/>
    <n v="4303.92"/>
  </r>
  <r>
    <x v="363"/>
    <x v="257"/>
    <x v="3"/>
    <s v="Gujarat"/>
    <s v="Ahmedabad"/>
    <x v="2"/>
    <s v="Stapler"/>
    <s v="Stapler"/>
    <x v="3"/>
    <x v="1"/>
    <n v="6"/>
    <n v="21286"/>
    <n v="0"/>
    <n v="127716"/>
    <n v="16461.47"/>
  </r>
  <r>
    <x v="364"/>
    <x v="188"/>
    <x v="2"/>
    <s v="Delhi"/>
    <s v="Delhi"/>
    <x v="0"/>
    <s v="Chair"/>
    <s v="Chair"/>
    <x v="7"/>
    <x v="1"/>
    <n v="5"/>
    <n v="19192"/>
    <n v="20"/>
    <n v="76768"/>
    <n v="15737.49"/>
  </r>
  <r>
    <x v="365"/>
    <x v="185"/>
    <x v="3"/>
    <s v="Maharashtra"/>
    <s v="Mumbai"/>
    <x v="2"/>
    <s v="Printer Paper"/>
    <s v="Printer Paper"/>
    <x v="2"/>
    <x v="1"/>
    <n v="9"/>
    <n v="20768"/>
    <n v="5"/>
    <n v="177566.4"/>
    <n v="27576.639999999999"/>
  </r>
  <r>
    <x v="366"/>
    <x v="258"/>
    <x v="3"/>
    <s v="Maharashtra"/>
    <s v="Mumbai"/>
    <x v="2"/>
    <s v="Printer Paper"/>
    <s v="Printer Paper"/>
    <x v="6"/>
    <x v="0"/>
    <n v="3"/>
    <n v="31457"/>
    <n v="20"/>
    <n v="75496.800000000003"/>
    <n v="18996.810000000001"/>
  </r>
  <r>
    <x v="367"/>
    <x v="259"/>
    <x v="1"/>
    <s v="Tamil Nadu"/>
    <s v="Chennai"/>
    <x v="0"/>
    <s v="Table"/>
    <s v="Table"/>
    <x v="4"/>
    <x v="0"/>
    <n v="10"/>
    <n v="35446"/>
    <n v="0"/>
    <n v="354460"/>
    <n v="27478.37"/>
  </r>
  <r>
    <x v="368"/>
    <x v="112"/>
    <x v="2"/>
    <s v="Chandigarh"/>
    <s v="Chandigarh"/>
    <x v="2"/>
    <s v="Pen"/>
    <s v="Pen"/>
    <x v="1"/>
    <x v="0"/>
    <n v="4"/>
    <n v="46103"/>
    <n v="20"/>
    <n v="147529.60000000001"/>
    <n v="28453.41"/>
  </r>
  <r>
    <x v="369"/>
    <x v="260"/>
    <x v="3"/>
    <s v="Maharashtra"/>
    <s v="Mumbai"/>
    <x v="1"/>
    <s v="Mobile"/>
    <s v="Mobile"/>
    <x v="4"/>
    <x v="0"/>
    <n v="9"/>
    <n v="41354"/>
    <n v="15"/>
    <n v="316358.09999999998"/>
    <n v="49768.51"/>
  </r>
  <r>
    <x v="370"/>
    <x v="100"/>
    <x v="2"/>
    <s v="Chandigarh"/>
    <s v="Chandigarh"/>
    <x v="2"/>
    <s v="Printer Paper"/>
    <s v="Printer Paper"/>
    <x v="6"/>
    <x v="0"/>
    <n v="3"/>
    <n v="6672"/>
    <n v="15"/>
    <n v="17013.599999999999"/>
    <n v="4044.49"/>
  </r>
  <r>
    <x v="371"/>
    <x v="32"/>
    <x v="2"/>
    <s v="Chandigarh"/>
    <s v="Chandigarh"/>
    <x v="0"/>
    <s v="Desk"/>
    <s v="Desk"/>
    <x v="3"/>
    <x v="1"/>
    <n v="5"/>
    <n v="42730"/>
    <n v="5"/>
    <n v="202967.5"/>
    <n v="49610.54"/>
  </r>
  <r>
    <x v="372"/>
    <x v="261"/>
    <x v="2"/>
    <s v="Delhi"/>
    <s v="Delhi"/>
    <x v="0"/>
    <s v="Table"/>
    <s v="Table"/>
    <x v="1"/>
    <x v="1"/>
    <n v="2"/>
    <n v="31612"/>
    <n v="5"/>
    <n v="60062.8"/>
    <n v="12129.03"/>
  </r>
  <r>
    <x v="373"/>
    <x v="183"/>
    <x v="1"/>
    <s v="Karnataka"/>
    <s v="Bengaluru"/>
    <x v="1"/>
    <s v="Laptop"/>
    <s v="Laptop"/>
    <x v="1"/>
    <x v="0"/>
    <n v="7"/>
    <n v="35737"/>
    <n v="20"/>
    <n v="200127.2"/>
    <n v="40281.35"/>
  </r>
  <r>
    <x v="374"/>
    <x v="71"/>
    <x v="3"/>
    <s v="Gujarat"/>
    <s v="Ahmedabad"/>
    <x v="2"/>
    <s v="Notebook"/>
    <s v="Notebook"/>
    <x v="4"/>
    <x v="0"/>
    <n v="8"/>
    <n v="9509"/>
    <n v="5"/>
    <n v="72268.399999999994"/>
    <n v="10885.28"/>
  </r>
  <r>
    <x v="375"/>
    <x v="262"/>
    <x v="2"/>
    <s v="Delhi"/>
    <s v="Delhi"/>
    <x v="1"/>
    <s v="Monitor"/>
    <s v="Monitor"/>
    <x v="1"/>
    <x v="0"/>
    <n v="2"/>
    <n v="38278"/>
    <n v="5"/>
    <n v="72728.2"/>
    <n v="18165.18"/>
  </r>
  <r>
    <x v="376"/>
    <x v="153"/>
    <x v="3"/>
    <s v="Maharashtra"/>
    <s v="Mumbai"/>
    <x v="2"/>
    <s v="Pen"/>
    <s v="Pen"/>
    <x v="1"/>
    <x v="1"/>
    <n v="7"/>
    <n v="37664"/>
    <n v="20"/>
    <n v="210918.39999999999"/>
    <n v="14375.55"/>
  </r>
  <r>
    <x v="377"/>
    <x v="263"/>
    <x v="2"/>
    <s v="Chandigarh"/>
    <s v="Chandigarh"/>
    <x v="0"/>
    <s v="Desk"/>
    <s v="Desk"/>
    <x v="5"/>
    <x v="1"/>
    <n v="4"/>
    <n v="33706"/>
    <n v="10"/>
    <n v="121341.6"/>
    <n v="21834.29"/>
  </r>
  <r>
    <x v="378"/>
    <x v="264"/>
    <x v="2"/>
    <s v="Delhi"/>
    <s v="Delhi"/>
    <x v="2"/>
    <s v="Printer Paper"/>
    <s v="Printer Paper"/>
    <x v="2"/>
    <x v="0"/>
    <n v="3"/>
    <n v="20486"/>
    <n v="15"/>
    <n v="52239.3"/>
    <n v="6832.11"/>
  </r>
  <r>
    <x v="379"/>
    <x v="265"/>
    <x v="1"/>
    <s v="Tamil Nadu"/>
    <s v="Chennai"/>
    <x v="1"/>
    <s v="Monitor"/>
    <s v="Monitor"/>
    <x v="4"/>
    <x v="0"/>
    <n v="10"/>
    <n v="8444"/>
    <n v="10"/>
    <n v="75996"/>
    <n v="9871.86"/>
  </r>
  <r>
    <x v="380"/>
    <x v="266"/>
    <x v="2"/>
    <s v="Chandigarh"/>
    <s v="Chandigarh"/>
    <x v="1"/>
    <s v="Mobile"/>
    <s v="Mobile"/>
    <x v="4"/>
    <x v="1"/>
    <n v="9"/>
    <n v="23702"/>
    <n v="15"/>
    <n v="181320.3"/>
    <n v="53852.78"/>
  </r>
  <r>
    <x v="381"/>
    <x v="267"/>
    <x v="0"/>
    <s v="West Bengal"/>
    <s v="Kolkata"/>
    <x v="1"/>
    <s v="Monitor"/>
    <s v="Monitor"/>
    <x v="5"/>
    <x v="1"/>
    <n v="8"/>
    <n v="48414"/>
    <n v="10"/>
    <n v="348580.8"/>
    <n v="27575.31"/>
  </r>
  <r>
    <x v="382"/>
    <x v="215"/>
    <x v="2"/>
    <s v="Chandigarh"/>
    <s v="Chandigarh"/>
    <x v="2"/>
    <s v="Notebook"/>
    <s v="Notebook"/>
    <x v="7"/>
    <x v="0"/>
    <n v="2"/>
    <n v="39532"/>
    <n v="15"/>
    <n v="67204.399999999994"/>
    <n v="19933.439999999999"/>
  </r>
  <r>
    <x v="383"/>
    <x v="268"/>
    <x v="3"/>
    <s v="Maharashtra"/>
    <s v="Mumbai"/>
    <x v="0"/>
    <s v="Sofa"/>
    <s v="Sofa"/>
    <x v="4"/>
    <x v="1"/>
    <n v="6"/>
    <n v="5950"/>
    <n v="5"/>
    <n v="33915"/>
    <n v="9684.41"/>
  </r>
  <r>
    <x v="384"/>
    <x v="68"/>
    <x v="1"/>
    <s v="Tamil Nadu"/>
    <s v="Chennai"/>
    <x v="0"/>
    <s v="Chair"/>
    <s v="Chair"/>
    <x v="2"/>
    <x v="1"/>
    <n v="5"/>
    <n v="43316"/>
    <n v="0"/>
    <n v="216580"/>
    <n v="45369.56"/>
  </r>
  <r>
    <x v="385"/>
    <x v="51"/>
    <x v="0"/>
    <s v="West Bengal"/>
    <s v="Kolkata"/>
    <x v="2"/>
    <s v="Stapler"/>
    <s v="Stapler"/>
    <x v="7"/>
    <x v="0"/>
    <n v="7"/>
    <n v="6599"/>
    <n v="15"/>
    <n v="39264.050000000003"/>
    <n v="10464.98"/>
  </r>
  <r>
    <x v="386"/>
    <x v="269"/>
    <x v="3"/>
    <s v="Maharashtra"/>
    <s v="Mumbai"/>
    <x v="2"/>
    <s v="Stapler"/>
    <s v="Stapler"/>
    <x v="1"/>
    <x v="1"/>
    <n v="7"/>
    <n v="3352"/>
    <n v="5"/>
    <n v="22290.799999999999"/>
    <n v="1932.53"/>
  </r>
  <r>
    <x v="387"/>
    <x v="270"/>
    <x v="1"/>
    <s v="Tamil Nadu"/>
    <s v="Chennai"/>
    <x v="2"/>
    <s v="Notebook"/>
    <s v="Notebook"/>
    <x v="5"/>
    <x v="1"/>
    <n v="2"/>
    <n v="13185"/>
    <n v="5"/>
    <n v="25051.5"/>
    <n v="6018.78"/>
  </r>
  <r>
    <x v="388"/>
    <x v="271"/>
    <x v="2"/>
    <s v="Delhi"/>
    <s v="Delhi"/>
    <x v="2"/>
    <s v="Notebook"/>
    <s v="Notebook"/>
    <x v="5"/>
    <x v="1"/>
    <n v="4"/>
    <n v="13296"/>
    <n v="15"/>
    <n v="45206.400000000001"/>
    <n v="7205.32"/>
  </r>
  <r>
    <x v="389"/>
    <x v="121"/>
    <x v="2"/>
    <s v="Chandigarh"/>
    <s v="Chandigarh"/>
    <x v="0"/>
    <s v="Sofa"/>
    <s v="Sofa"/>
    <x v="0"/>
    <x v="0"/>
    <n v="8"/>
    <n v="37523"/>
    <n v="15"/>
    <n v="255156.4"/>
    <n v="28705.05"/>
  </r>
  <r>
    <x v="390"/>
    <x v="81"/>
    <x v="3"/>
    <s v="Maharashtra"/>
    <s v="Mumbai"/>
    <x v="2"/>
    <s v="Pen"/>
    <s v="Pen"/>
    <x v="6"/>
    <x v="1"/>
    <n v="8"/>
    <n v="33575"/>
    <n v="20"/>
    <n v="214880"/>
    <n v="24129.42"/>
  </r>
  <r>
    <x v="391"/>
    <x v="39"/>
    <x v="1"/>
    <s v="Tamil Nadu"/>
    <s v="Chennai"/>
    <x v="1"/>
    <s v="Monitor"/>
    <s v="Monitor"/>
    <x v="4"/>
    <x v="1"/>
    <n v="8"/>
    <n v="32646"/>
    <n v="5"/>
    <n v="248109.6"/>
    <n v="49774.76"/>
  </r>
  <r>
    <x v="392"/>
    <x v="223"/>
    <x v="3"/>
    <s v="Maharashtra"/>
    <s v="Mumbai"/>
    <x v="0"/>
    <s v="Table"/>
    <s v="Table"/>
    <x v="2"/>
    <x v="0"/>
    <n v="3"/>
    <n v="6683"/>
    <n v="5"/>
    <n v="19046.55"/>
    <n v="4781.53"/>
  </r>
  <r>
    <x v="393"/>
    <x v="272"/>
    <x v="3"/>
    <s v="Maharashtra"/>
    <s v="Mumbai"/>
    <x v="1"/>
    <s v="Monitor"/>
    <s v="Monitor"/>
    <x v="4"/>
    <x v="1"/>
    <n v="3"/>
    <n v="28716"/>
    <n v="15"/>
    <n v="73225.8"/>
    <n v="16385.52"/>
  </r>
  <r>
    <x v="394"/>
    <x v="180"/>
    <x v="1"/>
    <s v="Tamil Nadu"/>
    <s v="Chennai"/>
    <x v="2"/>
    <s v="Printer Paper"/>
    <s v="Printer Paper"/>
    <x v="6"/>
    <x v="1"/>
    <n v="10"/>
    <n v="33213"/>
    <n v="10"/>
    <n v="298917"/>
    <n v="56839.6"/>
  </r>
  <r>
    <x v="395"/>
    <x v="171"/>
    <x v="0"/>
    <s v="Odisha"/>
    <s v="Bhubaneswar"/>
    <x v="2"/>
    <s v="Notebook"/>
    <s v="Notebook"/>
    <x v="5"/>
    <x v="1"/>
    <n v="6"/>
    <n v="34876"/>
    <n v="20"/>
    <n v="167404.79999999999"/>
    <n v="13621.68"/>
  </r>
  <r>
    <x v="396"/>
    <x v="257"/>
    <x v="3"/>
    <s v="Maharashtra"/>
    <s v="Mumbai"/>
    <x v="0"/>
    <s v="Table"/>
    <s v="Table"/>
    <x v="3"/>
    <x v="1"/>
    <n v="7"/>
    <n v="12904"/>
    <n v="20"/>
    <n v="72262.399999999994"/>
    <n v="16411.55"/>
  </r>
  <r>
    <x v="397"/>
    <x v="273"/>
    <x v="1"/>
    <s v="Tamil Nadu"/>
    <s v="Chennai"/>
    <x v="0"/>
    <s v="Desk"/>
    <s v="Desk"/>
    <x v="5"/>
    <x v="1"/>
    <n v="3"/>
    <n v="4641"/>
    <n v="20"/>
    <n v="11138.4"/>
    <n v="2185.25"/>
  </r>
  <r>
    <x v="398"/>
    <x v="274"/>
    <x v="3"/>
    <s v="Gujarat"/>
    <s v="Ahmedabad"/>
    <x v="1"/>
    <s v="Mobile"/>
    <s v="Mobile"/>
    <x v="3"/>
    <x v="0"/>
    <n v="8"/>
    <n v="7650"/>
    <n v="0"/>
    <n v="61200"/>
    <n v="5264.38"/>
  </r>
  <r>
    <x v="399"/>
    <x v="174"/>
    <x v="0"/>
    <s v="Odisha"/>
    <s v="Bhubaneswar"/>
    <x v="2"/>
    <s v="Notebook"/>
    <s v="Notebook"/>
    <x v="2"/>
    <x v="1"/>
    <n v="1"/>
    <n v="22239"/>
    <n v="0"/>
    <n v="22239"/>
    <n v="4275.08"/>
  </r>
  <r>
    <x v="400"/>
    <x v="15"/>
    <x v="2"/>
    <s v="Delhi"/>
    <s v="Delhi"/>
    <x v="2"/>
    <s v="Notebook"/>
    <s v="Notebook"/>
    <x v="7"/>
    <x v="1"/>
    <n v="7"/>
    <n v="25328"/>
    <n v="5"/>
    <n v="168431.2"/>
    <n v="10937.93"/>
  </r>
  <r>
    <x v="401"/>
    <x v="110"/>
    <x v="2"/>
    <s v="Chandigarh"/>
    <s v="Chandigarh"/>
    <x v="0"/>
    <s v="Chair"/>
    <s v="Chair"/>
    <x v="5"/>
    <x v="1"/>
    <n v="2"/>
    <n v="17702"/>
    <n v="15"/>
    <n v="30093.4"/>
    <n v="3956.47"/>
  </r>
  <r>
    <x v="402"/>
    <x v="275"/>
    <x v="0"/>
    <s v="West Bengal"/>
    <s v="Kolkata"/>
    <x v="0"/>
    <s v="Table"/>
    <s v="Table"/>
    <x v="3"/>
    <x v="0"/>
    <n v="2"/>
    <n v="14410"/>
    <n v="15"/>
    <n v="24497"/>
    <n v="4931.78"/>
  </r>
  <r>
    <x v="403"/>
    <x v="128"/>
    <x v="0"/>
    <s v="West Bengal"/>
    <s v="Kolkata"/>
    <x v="1"/>
    <s v="Mobile"/>
    <s v="Mobile"/>
    <x v="5"/>
    <x v="1"/>
    <n v="2"/>
    <n v="7563"/>
    <n v="5"/>
    <n v="14369.7"/>
    <n v="1478.91"/>
  </r>
  <r>
    <x v="404"/>
    <x v="276"/>
    <x v="2"/>
    <s v="Delhi"/>
    <s v="Delhi"/>
    <x v="0"/>
    <s v="Chair"/>
    <s v="Chair"/>
    <x v="5"/>
    <x v="0"/>
    <n v="5"/>
    <n v="17831"/>
    <n v="10"/>
    <n v="80239.5"/>
    <n v="4943.79"/>
  </r>
  <r>
    <x v="405"/>
    <x v="277"/>
    <x v="0"/>
    <s v="Odisha"/>
    <s v="Bhubaneswar"/>
    <x v="2"/>
    <s v="Notebook"/>
    <s v="Notebook"/>
    <x v="1"/>
    <x v="1"/>
    <n v="6"/>
    <n v="15344"/>
    <n v="15"/>
    <n v="78254.399999999994"/>
    <n v="18932.86"/>
  </r>
  <r>
    <x v="406"/>
    <x v="155"/>
    <x v="2"/>
    <s v="Chandigarh"/>
    <s v="Chandigarh"/>
    <x v="1"/>
    <s v="Laptop"/>
    <s v="Laptop"/>
    <x v="2"/>
    <x v="1"/>
    <n v="4"/>
    <n v="15670"/>
    <n v="15"/>
    <n v="53278"/>
    <n v="9394.23"/>
  </r>
  <r>
    <x v="407"/>
    <x v="278"/>
    <x v="3"/>
    <s v="Gujarat"/>
    <s v="Ahmedabad"/>
    <x v="2"/>
    <s v="Printer Paper"/>
    <s v="Printer Paper"/>
    <x v="2"/>
    <x v="0"/>
    <n v="3"/>
    <n v="47937"/>
    <n v="0"/>
    <n v="143811"/>
    <n v="36335.22"/>
  </r>
  <r>
    <x v="408"/>
    <x v="130"/>
    <x v="1"/>
    <s v="Tamil Nadu"/>
    <s v="Chennai"/>
    <x v="0"/>
    <s v="Sofa"/>
    <s v="Sofa"/>
    <x v="7"/>
    <x v="1"/>
    <n v="3"/>
    <n v="43062"/>
    <n v="20"/>
    <n v="103348.8"/>
    <n v="19182.09"/>
  </r>
  <r>
    <x v="409"/>
    <x v="191"/>
    <x v="1"/>
    <s v="Karnataka"/>
    <s v="Bengaluru"/>
    <x v="2"/>
    <s v="Stapler"/>
    <s v="Stapler"/>
    <x v="3"/>
    <x v="0"/>
    <n v="3"/>
    <n v="47115"/>
    <n v="20"/>
    <n v="113076"/>
    <n v="11637.33"/>
  </r>
  <r>
    <x v="410"/>
    <x v="250"/>
    <x v="0"/>
    <s v="Odisha"/>
    <s v="Bhubaneswar"/>
    <x v="0"/>
    <s v="Desk"/>
    <s v="Desk"/>
    <x v="5"/>
    <x v="0"/>
    <n v="5"/>
    <n v="1714"/>
    <n v="10"/>
    <n v="7713"/>
    <n v="645.97"/>
  </r>
  <r>
    <x v="411"/>
    <x v="279"/>
    <x v="1"/>
    <s v="Karnataka"/>
    <s v="Bengaluru"/>
    <x v="2"/>
    <s v="Stapler"/>
    <s v="Stapler"/>
    <x v="1"/>
    <x v="1"/>
    <n v="3"/>
    <n v="49720"/>
    <n v="20"/>
    <n v="119328"/>
    <n v="33147.199999999997"/>
  </r>
  <r>
    <x v="412"/>
    <x v="280"/>
    <x v="3"/>
    <s v="Gujarat"/>
    <s v="Ahmedabad"/>
    <x v="0"/>
    <s v="Chair"/>
    <s v="Chair"/>
    <x v="6"/>
    <x v="1"/>
    <n v="4"/>
    <n v="39950"/>
    <n v="15"/>
    <n v="135830"/>
    <n v="9487.5"/>
  </r>
  <r>
    <x v="413"/>
    <x v="281"/>
    <x v="0"/>
    <s v="West Bengal"/>
    <s v="Kolkata"/>
    <x v="1"/>
    <s v="Mobile"/>
    <s v="Mobile"/>
    <x v="4"/>
    <x v="1"/>
    <n v="6"/>
    <n v="18977"/>
    <n v="5"/>
    <n v="108168.9"/>
    <n v="29097.32"/>
  </r>
  <r>
    <x v="414"/>
    <x v="282"/>
    <x v="3"/>
    <s v="Gujarat"/>
    <s v="Ahmedabad"/>
    <x v="2"/>
    <s v="Notebook"/>
    <s v="Notebook"/>
    <x v="5"/>
    <x v="1"/>
    <n v="9"/>
    <n v="30023"/>
    <n v="0"/>
    <n v="270207"/>
    <n v="39706.07"/>
  </r>
  <r>
    <x v="415"/>
    <x v="42"/>
    <x v="3"/>
    <s v="Gujarat"/>
    <s v="Ahmedabad"/>
    <x v="1"/>
    <s v="Laptop"/>
    <s v="Laptop"/>
    <x v="7"/>
    <x v="1"/>
    <n v="6"/>
    <n v="1164"/>
    <n v="10"/>
    <n v="6285.6"/>
    <n v="1000.52"/>
  </r>
  <r>
    <x v="416"/>
    <x v="144"/>
    <x v="1"/>
    <s v="Tamil Nadu"/>
    <s v="Chennai"/>
    <x v="1"/>
    <s v="Mobile"/>
    <s v="Mobile"/>
    <x v="3"/>
    <x v="1"/>
    <n v="4"/>
    <n v="21247"/>
    <n v="0"/>
    <n v="84988"/>
    <n v="17179.8"/>
  </r>
  <r>
    <x v="417"/>
    <x v="283"/>
    <x v="0"/>
    <s v="Odisha"/>
    <s v="Bhubaneswar"/>
    <x v="1"/>
    <s v="Mobile"/>
    <s v="Mobile"/>
    <x v="1"/>
    <x v="0"/>
    <n v="7"/>
    <n v="46530"/>
    <n v="10"/>
    <n v="293139"/>
    <n v="43453.09"/>
  </r>
  <r>
    <x v="418"/>
    <x v="161"/>
    <x v="2"/>
    <s v="Chandigarh"/>
    <s v="Chandigarh"/>
    <x v="0"/>
    <s v="Desk"/>
    <s v="Desk"/>
    <x v="3"/>
    <x v="1"/>
    <n v="1"/>
    <n v="17120"/>
    <n v="5"/>
    <n v="16264"/>
    <n v="1669.48"/>
  </r>
  <r>
    <x v="419"/>
    <x v="284"/>
    <x v="3"/>
    <s v="Gujarat"/>
    <s v="Ahmedabad"/>
    <x v="0"/>
    <s v="Desk"/>
    <s v="Desk"/>
    <x v="2"/>
    <x v="0"/>
    <n v="3"/>
    <n v="31559"/>
    <n v="15"/>
    <n v="80475.45"/>
    <n v="6174.16"/>
  </r>
  <r>
    <x v="420"/>
    <x v="285"/>
    <x v="3"/>
    <s v="Gujarat"/>
    <s v="Ahmedabad"/>
    <x v="0"/>
    <s v="Sofa"/>
    <s v="Sofa"/>
    <x v="3"/>
    <x v="1"/>
    <n v="5"/>
    <n v="19210"/>
    <n v="20"/>
    <n v="76840"/>
    <n v="10302.32"/>
  </r>
  <r>
    <x v="421"/>
    <x v="286"/>
    <x v="1"/>
    <s v="Karnataka"/>
    <s v="Bengaluru"/>
    <x v="1"/>
    <s v="Keyboard"/>
    <s v="Keyboard"/>
    <x v="0"/>
    <x v="1"/>
    <n v="2"/>
    <n v="25723"/>
    <n v="15"/>
    <n v="43729.1"/>
    <n v="10439.92"/>
  </r>
  <r>
    <x v="422"/>
    <x v="43"/>
    <x v="0"/>
    <s v="West Bengal"/>
    <s v="Kolkata"/>
    <x v="0"/>
    <s v="Desk"/>
    <s v="Desk"/>
    <x v="4"/>
    <x v="1"/>
    <n v="3"/>
    <n v="30772"/>
    <n v="15"/>
    <n v="78468.600000000006"/>
    <n v="9433.2999999999993"/>
  </r>
  <r>
    <x v="423"/>
    <x v="18"/>
    <x v="1"/>
    <s v="Karnataka"/>
    <s v="Bengaluru"/>
    <x v="0"/>
    <s v="Table"/>
    <s v="Table"/>
    <x v="7"/>
    <x v="0"/>
    <n v="8"/>
    <n v="38394"/>
    <n v="20"/>
    <n v="245721.60000000001"/>
    <n v="46824.639999999999"/>
  </r>
  <r>
    <x v="424"/>
    <x v="16"/>
    <x v="3"/>
    <s v="Gujarat"/>
    <s v="Ahmedabad"/>
    <x v="0"/>
    <s v="Chair"/>
    <s v="Chair"/>
    <x v="0"/>
    <x v="1"/>
    <n v="5"/>
    <n v="25784"/>
    <n v="20"/>
    <n v="103136"/>
    <n v="6850.51"/>
  </r>
  <r>
    <x v="425"/>
    <x v="287"/>
    <x v="3"/>
    <s v="Maharashtra"/>
    <s v="Mumbai"/>
    <x v="1"/>
    <s v="Laptop"/>
    <s v="Laptop"/>
    <x v="5"/>
    <x v="1"/>
    <n v="9"/>
    <n v="47588"/>
    <n v="5"/>
    <n v="406877.4"/>
    <n v="56725.27"/>
  </r>
  <r>
    <x v="426"/>
    <x v="138"/>
    <x v="1"/>
    <s v="Karnataka"/>
    <s v="Bengaluru"/>
    <x v="0"/>
    <s v="Table"/>
    <s v="Table"/>
    <x v="0"/>
    <x v="1"/>
    <n v="7"/>
    <n v="8287"/>
    <n v="5"/>
    <n v="55108.55"/>
    <n v="7504.91"/>
  </r>
  <r>
    <x v="427"/>
    <x v="288"/>
    <x v="0"/>
    <s v="West Bengal"/>
    <s v="Kolkata"/>
    <x v="1"/>
    <s v="Monitor"/>
    <s v="Monitor"/>
    <x v="0"/>
    <x v="0"/>
    <n v="3"/>
    <n v="21122"/>
    <n v="20"/>
    <n v="50692.800000000003"/>
    <n v="3162.98"/>
  </r>
  <r>
    <x v="428"/>
    <x v="289"/>
    <x v="1"/>
    <s v="Karnataka"/>
    <s v="Bengaluru"/>
    <x v="0"/>
    <s v="Sofa"/>
    <s v="Sofa"/>
    <x v="7"/>
    <x v="0"/>
    <n v="7"/>
    <n v="26586"/>
    <n v="5"/>
    <n v="176796.9"/>
    <n v="40748.54"/>
  </r>
  <r>
    <x v="429"/>
    <x v="196"/>
    <x v="3"/>
    <s v="Gujarat"/>
    <s v="Ahmedabad"/>
    <x v="1"/>
    <s v="Laptop"/>
    <s v="Laptop"/>
    <x v="2"/>
    <x v="0"/>
    <n v="3"/>
    <n v="14372"/>
    <n v="20"/>
    <n v="34492.800000000003"/>
    <n v="8158.78"/>
  </r>
  <r>
    <x v="430"/>
    <x v="290"/>
    <x v="3"/>
    <s v="Gujarat"/>
    <s v="Ahmedabad"/>
    <x v="1"/>
    <s v="Mobile"/>
    <s v="Mobile"/>
    <x v="7"/>
    <x v="0"/>
    <n v="5"/>
    <n v="1255"/>
    <n v="0"/>
    <n v="6275"/>
    <n v="912.36"/>
  </r>
  <r>
    <x v="431"/>
    <x v="22"/>
    <x v="0"/>
    <s v="West Bengal"/>
    <s v="Kolkata"/>
    <x v="1"/>
    <s v="Keyboard"/>
    <s v="Keyboard"/>
    <x v="4"/>
    <x v="0"/>
    <n v="9"/>
    <n v="26880"/>
    <n v="5"/>
    <n v="229824"/>
    <n v="42463.62"/>
  </r>
  <r>
    <x v="432"/>
    <x v="278"/>
    <x v="0"/>
    <s v="West Bengal"/>
    <s v="Kolkata"/>
    <x v="1"/>
    <s v="Keyboard"/>
    <s v="Keyboard"/>
    <x v="1"/>
    <x v="0"/>
    <n v="3"/>
    <n v="41239"/>
    <n v="15"/>
    <n v="105159.45"/>
    <n v="28835.96"/>
  </r>
  <r>
    <x v="433"/>
    <x v="97"/>
    <x v="1"/>
    <s v="Karnataka"/>
    <s v="Bengaluru"/>
    <x v="1"/>
    <s v="Monitor"/>
    <s v="Monitor"/>
    <x v="0"/>
    <x v="0"/>
    <n v="5"/>
    <n v="16387"/>
    <n v="0"/>
    <n v="81935"/>
    <n v="18114.27"/>
  </r>
  <r>
    <x v="434"/>
    <x v="169"/>
    <x v="1"/>
    <s v="Karnataka"/>
    <s v="Bengaluru"/>
    <x v="1"/>
    <s v="Mobile"/>
    <s v="Mobile"/>
    <x v="1"/>
    <x v="1"/>
    <n v="4"/>
    <n v="13956"/>
    <n v="10"/>
    <n v="50241.599999999999"/>
    <n v="8639.6299999999992"/>
  </r>
  <r>
    <x v="435"/>
    <x v="291"/>
    <x v="2"/>
    <s v="Delhi"/>
    <s v="Delhi"/>
    <x v="1"/>
    <s v="Monitor"/>
    <s v="Monitor"/>
    <x v="2"/>
    <x v="1"/>
    <n v="5"/>
    <n v="14053"/>
    <n v="10"/>
    <n v="63238.5"/>
    <n v="8555.5300000000007"/>
  </r>
  <r>
    <x v="436"/>
    <x v="264"/>
    <x v="0"/>
    <s v="Odisha"/>
    <s v="Bhubaneswar"/>
    <x v="2"/>
    <s v="Notebook"/>
    <s v="Notebook"/>
    <x v="2"/>
    <x v="0"/>
    <n v="8"/>
    <n v="32834"/>
    <n v="10"/>
    <n v="236404.8"/>
    <n v="58843.8"/>
  </r>
  <r>
    <x v="437"/>
    <x v="289"/>
    <x v="0"/>
    <s v="Odisha"/>
    <s v="Bhubaneswar"/>
    <x v="0"/>
    <s v="Table"/>
    <s v="Table"/>
    <x v="2"/>
    <x v="0"/>
    <n v="1"/>
    <n v="34724"/>
    <n v="20"/>
    <n v="27779.200000000001"/>
    <n v="5525.49"/>
  </r>
  <r>
    <x v="438"/>
    <x v="183"/>
    <x v="2"/>
    <s v="Chandigarh"/>
    <s v="Chandigarh"/>
    <x v="2"/>
    <s v="Pen"/>
    <s v="Pen"/>
    <x v="0"/>
    <x v="1"/>
    <n v="9"/>
    <n v="37313"/>
    <n v="15"/>
    <n v="285444.45"/>
    <n v="39865.31"/>
  </r>
  <r>
    <x v="439"/>
    <x v="181"/>
    <x v="2"/>
    <s v="Chandigarh"/>
    <s v="Chandigarh"/>
    <x v="1"/>
    <s v="Keyboard"/>
    <s v="Keyboard"/>
    <x v="3"/>
    <x v="0"/>
    <n v="2"/>
    <n v="49035"/>
    <n v="5"/>
    <n v="93166.5"/>
    <n v="8096.39"/>
  </r>
  <r>
    <x v="440"/>
    <x v="255"/>
    <x v="3"/>
    <s v="Gujarat"/>
    <s v="Ahmedabad"/>
    <x v="0"/>
    <s v="Sofa"/>
    <s v="Sofa"/>
    <x v="3"/>
    <x v="1"/>
    <n v="3"/>
    <n v="10128"/>
    <n v="20"/>
    <n v="24307.200000000001"/>
    <n v="6492.88"/>
  </r>
  <r>
    <x v="441"/>
    <x v="198"/>
    <x v="2"/>
    <s v="Chandigarh"/>
    <s v="Chandigarh"/>
    <x v="1"/>
    <s v="Monitor"/>
    <s v="Monitor"/>
    <x v="2"/>
    <x v="0"/>
    <n v="2"/>
    <n v="14472"/>
    <n v="0"/>
    <n v="28944"/>
    <n v="4273.53"/>
  </r>
  <r>
    <x v="442"/>
    <x v="86"/>
    <x v="1"/>
    <s v="Karnataka"/>
    <s v="Bengaluru"/>
    <x v="2"/>
    <s v="Printer Paper"/>
    <s v="Printer Paper"/>
    <x v="7"/>
    <x v="0"/>
    <n v="1"/>
    <n v="20731"/>
    <n v="15"/>
    <n v="17621.349999999999"/>
    <n v="3366.06"/>
  </r>
  <r>
    <x v="443"/>
    <x v="292"/>
    <x v="2"/>
    <s v="Delhi"/>
    <s v="Delhi"/>
    <x v="0"/>
    <s v="Chair"/>
    <s v="Chair"/>
    <x v="0"/>
    <x v="0"/>
    <n v="2"/>
    <n v="20744"/>
    <n v="20"/>
    <n v="33190.400000000001"/>
    <n v="2195.2399999999998"/>
  </r>
  <r>
    <x v="444"/>
    <x v="128"/>
    <x v="2"/>
    <s v="Chandigarh"/>
    <s v="Chandigarh"/>
    <x v="2"/>
    <s v="Notebook"/>
    <s v="Notebook"/>
    <x v="7"/>
    <x v="0"/>
    <n v="5"/>
    <n v="32637"/>
    <n v="10"/>
    <n v="146866.5"/>
    <n v="39832.25"/>
  </r>
  <r>
    <x v="445"/>
    <x v="293"/>
    <x v="1"/>
    <s v="Tamil Nadu"/>
    <s v="Chennai"/>
    <x v="0"/>
    <s v="Table"/>
    <s v="Table"/>
    <x v="7"/>
    <x v="1"/>
    <n v="10"/>
    <n v="29183"/>
    <n v="5"/>
    <n v="277238.5"/>
    <n v="22736"/>
  </r>
  <r>
    <x v="446"/>
    <x v="116"/>
    <x v="0"/>
    <s v="West Bengal"/>
    <s v="Kolkata"/>
    <x v="1"/>
    <s v="Keyboard"/>
    <s v="Keyboard"/>
    <x v="2"/>
    <x v="0"/>
    <n v="8"/>
    <n v="25743"/>
    <n v="0"/>
    <n v="205944"/>
    <n v="30352.43"/>
  </r>
  <r>
    <x v="447"/>
    <x v="217"/>
    <x v="3"/>
    <s v="Maharashtra"/>
    <s v="Mumbai"/>
    <x v="2"/>
    <s v="Stapler"/>
    <s v="Stapler"/>
    <x v="5"/>
    <x v="1"/>
    <n v="8"/>
    <n v="20290"/>
    <n v="0"/>
    <n v="162320"/>
    <n v="38067.17"/>
  </r>
  <r>
    <x v="448"/>
    <x v="66"/>
    <x v="3"/>
    <s v="Maharashtra"/>
    <s v="Mumbai"/>
    <x v="0"/>
    <s v="Sofa"/>
    <s v="Sofa"/>
    <x v="5"/>
    <x v="1"/>
    <n v="4"/>
    <n v="27519"/>
    <n v="20"/>
    <n v="88060.800000000003"/>
    <n v="6402.71"/>
  </r>
  <r>
    <x v="449"/>
    <x v="26"/>
    <x v="1"/>
    <s v="Tamil Nadu"/>
    <s v="Chennai"/>
    <x v="2"/>
    <s v="Printer Paper"/>
    <s v="Printer Paper"/>
    <x v="3"/>
    <x v="1"/>
    <n v="4"/>
    <n v="40989"/>
    <n v="5"/>
    <n v="155758.20000000001"/>
    <n v="29125.15"/>
  </r>
  <r>
    <x v="450"/>
    <x v="294"/>
    <x v="0"/>
    <s v="West Bengal"/>
    <s v="Kolkata"/>
    <x v="1"/>
    <s v="Keyboard"/>
    <s v="Keyboard"/>
    <x v="4"/>
    <x v="1"/>
    <n v="3"/>
    <n v="36215"/>
    <n v="10"/>
    <n v="97780.5"/>
    <n v="13490.66"/>
  </r>
  <r>
    <x v="451"/>
    <x v="87"/>
    <x v="2"/>
    <s v="Chandigarh"/>
    <s v="Chandigarh"/>
    <x v="2"/>
    <s v="Pen"/>
    <s v="Pen"/>
    <x v="4"/>
    <x v="0"/>
    <n v="4"/>
    <n v="10147"/>
    <n v="5"/>
    <n v="38558.6"/>
    <n v="6241.27"/>
  </r>
  <r>
    <x v="452"/>
    <x v="78"/>
    <x v="3"/>
    <s v="Gujarat"/>
    <s v="Ahmedabad"/>
    <x v="2"/>
    <s v="Stapler"/>
    <s v="Stapler"/>
    <x v="3"/>
    <x v="0"/>
    <n v="9"/>
    <n v="21345"/>
    <n v="5"/>
    <n v="182499.75"/>
    <n v="47191.69"/>
  </r>
  <r>
    <x v="453"/>
    <x v="295"/>
    <x v="2"/>
    <s v="Chandigarh"/>
    <s v="Chandigarh"/>
    <x v="2"/>
    <s v="Pen"/>
    <s v="Pen"/>
    <x v="2"/>
    <x v="0"/>
    <n v="1"/>
    <n v="48895"/>
    <n v="10"/>
    <n v="44005.5"/>
    <n v="11347.47"/>
  </r>
  <r>
    <x v="454"/>
    <x v="296"/>
    <x v="3"/>
    <s v="Maharashtra"/>
    <s v="Mumbai"/>
    <x v="1"/>
    <s v="Keyboard"/>
    <s v="Keyboard"/>
    <x v="6"/>
    <x v="0"/>
    <n v="1"/>
    <n v="45162"/>
    <n v="0"/>
    <n v="45162"/>
    <n v="6104.34"/>
  </r>
  <r>
    <x v="455"/>
    <x v="297"/>
    <x v="3"/>
    <s v="Gujarat"/>
    <s v="Ahmedabad"/>
    <x v="0"/>
    <s v="Desk"/>
    <s v="Desk"/>
    <x v="4"/>
    <x v="0"/>
    <n v="2"/>
    <n v="37550"/>
    <n v="10"/>
    <n v="67590"/>
    <n v="15517.52"/>
  </r>
  <r>
    <x v="456"/>
    <x v="298"/>
    <x v="1"/>
    <s v="Tamil Nadu"/>
    <s v="Chennai"/>
    <x v="2"/>
    <s v="Stapler"/>
    <s v="Stapler"/>
    <x v="1"/>
    <x v="0"/>
    <n v="7"/>
    <n v="48102"/>
    <n v="10"/>
    <n v="303042.59999999998"/>
    <n v="19459.84"/>
  </r>
  <r>
    <x v="457"/>
    <x v="299"/>
    <x v="2"/>
    <s v="Chandigarh"/>
    <s v="Chandigarh"/>
    <x v="0"/>
    <s v="Chair"/>
    <s v="Chair"/>
    <x v="1"/>
    <x v="0"/>
    <n v="3"/>
    <n v="8994"/>
    <n v="10"/>
    <n v="24283.8"/>
    <n v="3128.07"/>
  </r>
  <r>
    <x v="458"/>
    <x v="300"/>
    <x v="2"/>
    <s v="Delhi"/>
    <s v="Delhi"/>
    <x v="2"/>
    <s v="Pen"/>
    <s v="Pen"/>
    <x v="1"/>
    <x v="0"/>
    <n v="8"/>
    <n v="34902"/>
    <n v="5"/>
    <n v="265255.2"/>
    <n v="14803.8"/>
  </r>
  <r>
    <x v="459"/>
    <x v="301"/>
    <x v="1"/>
    <s v="Tamil Nadu"/>
    <s v="Chennai"/>
    <x v="1"/>
    <s v="Keyboard"/>
    <s v="Keyboard"/>
    <x v="5"/>
    <x v="0"/>
    <n v="10"/>
    <n v="25958"/>
    <n v="10"/>
    <n v="233622"/>
    <n v="48124.43"/>
  </r>
  <r>
    <x v="460"/>
    <x v="2"/>
    <x v="3"/>
    <s v="Gujarat"/>
    <s v="Ahmedabad"/>
    <x v="1"/>
    <s v="Keyboard"/>
    <s v="Keyboard"/>
    <x v="5"/>
    <x v="0"/>
    <n v="10"/>
    <n v="10427"/>
    <n v="5"/>
    <n v="99056.5"/>
    <n v="18731.490000000002"/>
  </r>
  <r>
    <x v="461"/>
    <x v="141"/>
    <x v="1"/>
    <s v="Karnataka"/>
    <s v="Bengaluru"/>
    <x v="0"/>
    <s v="Sofa"/>
    <s v="Sofa"/>
    <x v="6"/>
    <x v="1"/>
    <n v="10"/>
    <n v="34786"/>
    <n v="15"/>
    <n v="295681"/>
    <n v="77627.03"/>
  </r>
  <r>
    <x v="462"/>
    <x v="302"/>
    <x v="1"/>
    <s v="Tamil Nadu"/>
    <s v="Chennai"/>
    <x v="1"/>
    <s v="Monitor"/>
    <s v="Monitor"/>
    <x v="3"/>
    <x v="1"/>
    <n v="1"/>
    <n v="7061"/>
    <n v="15"/>
    <n v="6001.85"/>
    <n v="606.20000000000005"/>
  </r>
  <r>
    <x v="463"/>
    <x v="303"/>
    <x v="2"/>
    <s v="Delhi"/>
    <s v="Delhi"/>
    <x v="0"/>
    <s v="Desk"/>
    <s v="Desk"/>
    <x v="4"/>
    <x v="1"/>
    <n v="10"/>
    <n v="33501"/>
    <n v="15"/>
    <n v="284758.5"/>
    <n v="30013.3"/>
  </r>
  <r>
    <x v="464"/>
    <x v="304"/>
    <x v="0"/>
    <s v="Odisha"/>
    <s v="Bhubaneswar"/>
    <x v="2"/>
    <s v="Notebook"/>
    <s v="Notebook"/>
    <x v="1"/>
    <x v="0"/>
    <n v="9"/>
    <n v="7362"/>
    <n v="20"/>
    <n v="53006.400000000001"/>
    <n v="13375.49"/>
  </r>
  <r>
    <x v="465"/>
    <x v="62"/>
    <x v="2"/>
    <s v="Chandigarh"/>
    <s v="Chandigarh"/>
    <x v="0"/>
    <s v="Desk"/>
    <s v="Desk"/>
    <x v="1"/>
    <x v="0"/>
    <n v="5"/>
    <n v="40328"/>
    <n v="15"/>
    <n v="171394"/>
    <n v="16763.77"/>
  </r>
  <r>
    <x v="466"/>
    <x v="26"/>
    <x v="2"/>
    <s v="Delhi"/>
    <s v="Delhi"/>
    <x v="2"/>
    <s v="Printer Paper"/>
    <s v="Printer Paper"/>
    <x v="1"/>
    <x v="1"/>
    <n v="7"/>
    <n v="38055"/>
    <n v="15"/>
    <n v="226427.25"/>
    <n v="17322.95"/>
  </r>
  <r>
    <x v="467"/>
    <x v="53"/>
    <x v="3"/>
    <s v="Maharashtra"/>
    <s v="Mumbai"/>
    <x v="1"/>
    <s v="Keyboard"/>
    <s v="Keyboard"/>
    <x v="4"/>
    <x v="0"/>
    <n v="10"/>
    <n v="34285"/>
    <n v="0"/>
    <n v="342850"/>
    <n v="42890.31"/>
  </r>
  <r>
    <x v="468"/>
    <x v="305"/>
    <x v="2"/>
    <s v="Delhi"/>
    <s v="Delhi"/>
    <x v="1"/>
    <s v="Monitor"/>
    <s v="Monitor"/>
    <x v="2"/>
    <x v="1"/>
    <n v="4"/>
    <n v="9224"/>
    <n v="5"/>
    <n v="35051.199999999997"/>
    <n v="6102.56"/>
  </r>
  <r>
    <x v="469"/>
    <x v="286"/>
    <x v="0"/>
    <s v="West Bengal"/>
    <s v="Kolkata"/>
    <x v="1"/>
    <s v="Mobile"/>
    <s v="Mobile"/>
    <x v="0"/>
    <x v="0"/>
    <n v="6"/>
    <n v="12616"/>
    <n v="15"/>
    <n v="64341.599999999999"/>
    <n v="13259.21"/>
  </r>
  <r>
    <x v="470"/>
    <x v="228"/>
    <x v="0"/>
    <s v="Odisha"/>
    <s v="Bhubaneswar"/>
    <x v="1"/>
    <s v="Mobile"/>
    <s v="Mobile"/>
    <x v="0"/>
    <x v="0"/>
    <n v="7"/>
    <n v="20571"/>
    <n v="5"/>
    <n v="136797.15"/>
    <n v="39541.72"/>
  </r>
  <r>
    <x v="471"/>
    <x v="306"/>
    <x v="1"/>
    <s v="Karnataka"/>
    <s v="Bengaluru"/>
    <x v="2"/>
    <s v="Stapler"/>
    <s v="Stapler"/>
    <x v="4"/>
    <x v="0"/>
    <n v="8"/>
    <n v="37082"/>
    <n v="10"/>
    <n v="266990.40000000002"/>
    <n v="25713.25"/>
  </r>
  <r>
    <x v="472"/>
    <x v="145"/>
    <x v="0"/>
    <s v="Odisha"/>
    <s v="Bhubaneswar"/>
    <x v="1"/>
    <s v="Mobile"/>
    <s v="Mobile"/>
    <x v="4"/>
    <x v="1"/>
    <n v="8"/>
    <n v="26888"/>
    <n v="5"/>
    <n v="204348.79999999999"/>
    <n v="52554.3"/>
  </r>
  <r>
    <x v="473"/>
    <x v="191"/>
    <x v="3"/>
    <s v="Maharashtra"/>
    <s v="Mumbai"/>
    <x v="0"/>
    <s v="Sofa"/>
    <s v="Sofa"/>
    <x v="4"/>
    <x v="0"/>
    <n v="8"/>
    <n v="14837"/>
    <n v="15"/>
    <n v="100891.6"/>
    <n v="21984.48"/>
  </r>
  <r>
    <x v="474"/>
    <x v="307"/>
    <x v="1"/>
    <s v="Tamil Nadu"/>
    <s v="Chennai"/>
    <x v="0"/>
    <s v="Chair"/>
    <s v="Chair"/>
    <x v="0"/>
    <x v="0"/>
    <n v="7"/>
    <n v="6321"/>
    <n v="5"/>
    <n v="42034.65"/>
    <n v="10514.02"/>
  </r>
  <r>
    <x v="475"/>
    <x v="308"/>
    <x v="1"/>
    <s v="Tamil Nadu"/>
    <s v="Chennai"/>
    <x v="0"/>
    <s v="Desk"/>
    <s v="Desk"/>
    <x v="4"/>
    <x v="0"/>
    <n v="8"/>
    <n v="42660"/>
    <n v="5"/>
    <n v="324216"/>
    <n v="93312.17"/>
  </r>
  <r>
    <x v="476"/>
    <x v="199"/>
    <x v="1"/>
    <s v="Tamil Nadu"/>
    <s v="Chennai"/>
    <x v="2"/>
    <s v="Notebook"/>
    <s v="Notebook"/>
    <x v="3"/>
    <x v="0"/>
    <n v="9"/>
    <n v="991"/>
    <n v="10"/>
    <n v="8027.1"/>
    <n v="1766.8"/>
  </r>
  <r>
    <x v="477"/>
    <x v="309"/>
    <x v="3"/>
    <s v="Maharashtra"/>
    <s v="Mumbai"/>
    <x v="1"/>
    <s v="Laptop"/>
    <s v="Laptop"/>
    <x v="3"/>
    <x v="0"/>
    <n v="1"/>
    <n v="15020"/>
    <n v="10"/>
    <n v="13518"/>
    <n v="3099.09"/>
  </r>
  <r>
    <x v="478"/>
    <x v="174"/>
    <x v="0"/>
    <s v="West Bengal"/>
    <s v="Kolkata"/>
    <x v="0"/>
    <s v="Desk"/>
    <s v="Desk"/>
    <x v="1"/>
    <x v="1"/>
    <n v="3"/>
    <n v="35815"/>
    <n v="10"/>
    <n v="96700.5"/>
    <n v="24106.240000000002"/>
  </r>
  <r>
    <x v="479"/>
    <x v="310"/>
    <x v="3"/>
    <s v="Maharashtra"/>
    <s v="Mumbai"/>
    <x v="1"/>
    <s v="Keyboard"/>
    <s v="Keyboard"/>
    <x v="7"/>
    <x v="1"/>
    <n v="5"/>
    <n v="14336"/>
    <n v="0"/>
    <n v="71680"/>
    <n v="19951.96"/>
  </r>
  <r>
    <x v="480"/>
    <x v="311"/>
    <x v="3"/>
    <s v="Maharashtra"/>
    <s v="Mumbai"/>
    <x v="1"/>
    <s v="Laptop"/>
    <s v="Laptop"/>
    <x v="5"/>
    <x v="1"/>
    <n v="4"/>
    <n v="25379"/>
    <n v="15"/>
    <n v="86288.6"/>
    <n v="14378.98"/>
  </r>
  <r>
    <x v="481"/>
    <x v="128"/>
    <x v="3"/>
    <s v="Gujarat"/>
    <s v="Ahmedabad"/>
    <x v="1"/>
    <s v="Mobile"/>
    <s v="Mobile"/>
    <x v="0"/>
    <x v="1"/>
    <n v="9"/>
    <n v="32030"/>
    <n v="15"/>
    <n v="245029.5"/>
    <n v="44465.57"/>
  </r>
  <r>
    <x v="482"/>
    <x v="312"/>
    <x v="2"/>
    <s v="Delhi"/>
    <s v="Delhi"/>
    <x v="1"/>
    <s v="Laptop"/>
    <s v="Laptop"/>
    <x v="6"/>
    <x v="1"/>
    <n v="3"/>
    <n v="8971"/>
    <n v="15"/>
    <n v="22876.05"/>
    <n v="3389.21"/>
  </r>
  <r>
    <x v="483"/>
    <x v="178"/>
    <x v="2"/>
    <s v="Delhi"/>
    <s v="Delhi"/>
    <x v="2"/>
    <s v="Stapler"/>
    <s v="Stapler"/>
    <x v="1"/>
    <x v="1"/>
    <n v="5"/>
    <n v="12318"/>
    <n v="5"/>
    <n v="58510.5"/>
    <n v="15282.77"/>
  </r>
  <r>
    <x v="484"/>
    <x v="104"/>
    <x v="2"/>
    <s v="Chandigarh"/>
    <s v="Chandigarh"/>
    <x v="1"/>
    <s v="Mobile"/>
    <s v="Mobile"/>
    <x v="3"/>
    <x v="0"/>
    <n v="10"/>
    <n v="29787"/>
    <n v="15"/>
    <n v="253189.5"/>
    <n v="64743.48"/>
  </r>
  <r>
    <x v="485"/>
    <x v="169"/>
    <x v="1"/>
    <s v="Karnataka"/>
    <s v="Bengaluru"/>
    <x v="2"/>
    <s v="Stapler"/>
    <s v="Stapler"/>
    <x v="1"/>
    <x v="0"/>
    <n v="7"/>
    <n v="47405"/>
    <n v="20"/>
    <n v="265468"/>
    <n v="66180.009999999995"/>
  </r>
  <r>
    <x v="486"/>
    <x v="187"/>
    <x v="3"/>
    <s v="Maharashtra"/>
    <s v="Mumbai"/>
    <x v="2"/>
    <s v="Printer Paper"/>
    <s v="Printer Paper"/>
    <x v="4"/>
    <x v="0"/>
    <n v="8"/>
    <n v="35650"/>
    <n v="10"/>
    <n v="256680"/>
    <n v="66123.91"/>
  </r>
  <r>
    <x v="487"/>
    <x v="83"/>
    <x v="0"/>
    <s v="Odisha"/>
    <s v="Bhubaneswar"/>
    <x v="1"/>
    <s v="Keyboard"/>
    <s v="Keyboard"/>
    <x v="1"/>
    <x v="1"/>
    <n v="6"/>
    <n v="47466"/>
    <n v="0"/>
    <n v="284796"/>
    <n v="29325.41"/>
  </r>
  <r>
    <x v="488"/>
    <x v="53"/>
    <x v="0"/>
    <s v="Odisha"/>
    <s v="Bhubaneswar"/>
    <x v="0"/>
    <s v="Desk"/>
    <s v="Desk"/>
    <x v="7"/>
    <x v="0"/>
    <n v="2"/>
    <n v="32489"/>
    <n v="5"/>
    <n v="61729.1"/>
    <n v="12416.3"/>
  </r>
  <r>
    <x v="489"/>
    <x v="313"/>
    <x v="0"/>
    <s v="West Bengal"/>
    <s v="Kolkata"/>
    <x v="1"/>
    <s v="Laptop"/>
    <s v="Laptop"/>
    <x v="5"/>
    <x v="1"/>
    <n v="8"/>
    <n v="27310"/>
    <n v="5"/>
    <n v="207556"/>
    <n v="36263.61"/>
  </r>
  <r>
    <x v="490"/>
    <x v="314"/>
    <x v="0"/>
    <s v="Odisha"/>
    <s v="Bhubaneswar"/>
    <x v="2"/>
    <s v="Pen"/>
    <s v="Pen"/>
    <x v="7"/>
    <x v="1"/>
    <n v="5"/>
    <n v="35111"/>
    <n v="10"/>
    <n v="157999.5"/>
    <n v="18091.2"/>
  </r>
  <r>
    <x v="491"/>
    <x v="286"/>
    <x v="1"/>
    <s v="Karnataka"/>
    <s v="Bengaluru"/>
    <x v="0"/>
    <s v="Table"/>
    <s v="Table"/>
    <x v="3"/>
    <x v="0"/>
    <n v="4"/>
    <n v="44926"/>
    <n v="20"/>
    <n v="143763.20000000001"/>
    <n v="30786.81"/>
  </r>
  <r>
    <x v="492"/>
    <x v="10"/>
    <x v="1"/>
    <s v="Karnataka"/>
    <s v="Bengaluru"/>
    <x v="0"/>
    <s v="Chair"/>
    <s v="Chair"/>
    <x v="4"/>
    <x v="0"/>
    <n v="5"/>
    <n v="8796"/>
    <n v="20"/>
    <n v="35184"/>
    <n v="4156.0600000000004"/>
  </r>
  <r>
    <x v="493"/>
    <x v="315"/>
    <x v="3"/>
    <s v="Gujarat"/>
    <s v="Ahmedabad"/>
    <x v="0"/>
    <s v="Table"/>
    <s v="Table"/>
    <x v="7"/>
    <x v="1"/>
    <n v="5"/>
    <n v="16603"/>
    <n v="15"/>
    <n v="70562.75"/>
    <n v="10757.1"/>
  </r>
  <r>
    <x v="494"/>
    <x v="316"/>
    <x v="1"/>
    <s v="Tamil Nadu"/>
    <s v="Chennai"/>
    <x v="2"/>
    <s v="Printer Paper"/>
    <s v="Printer Paper"/>
    <x v="3"/>
    <x v="1"/>
    <n v="4"/>
    <n v="32366"/>
    <n v="5"/>
    <n v="122990.8"/>
    <n v="19165.63"/>
  </r>
  <r>
    <x v="495"/>
    <x v="96"/>
    <x v="1"/>
    <s v="Tamil Nadu"/>
    <s v="Chennai"/>
    <x v="2"/>
    <s v="Pen"/>
    <s v="Pen"/>
    <x v="4"/>
    <x v="0"/>
    <n v="2"/>
    <n v="32994"/>
    <n v="10"/>
    <n v="59389.2"/>
    <n v="8185.51"/>
  </r>
  <r>
    <x v="496"/>
    <x v="105"/>
    <x v="2"/>
    <s v="Chandigarh"/>
    <s v="Chandigarh"/>
    <x v="0"/>
    <s v="Desk"/>
    <s v="Desk"/>
    <x v="3"/>
    <x v="0"/>
    <n v="7"/>
    <n v="48678"/>
    <n v="10"/>
    <n v="306671.40000000002"/>
    <n v="35778.68"/>
  </r>
  <r>
    <x v="497"/>
    <x v="317"/>
    <x v="3"/>
    <s v="Gujarat"/>
    <s v="Ahmedabad"/>
    <x v="2"/>
    <s v="Pen"/>
    <s v="Pen"/>
    <x v="5"/>
    <x v="1"/>
    <n v="4"/>
    <n v="34718"/>
    <n v="20"/>
    <n v="111097.60000000001"/>
    <n v="27771.14"/>
  </r>
  <r>
    <x v="498"/>
    <x v="318"/>
    <x v="2"/>
    <s v="Chandigarh"/>
    <s v="Chandigarh"/>
    <x v="0"/>
    <s v="Chair"/>
    <s v="Chair"/>
    <x v="3"/>
    <x v="1"/>
    <n v="10"/>
    <n v="31660"/>
    <n v="10"/>
    <n v="284940"/>
    <n v="41828.94"/>
  </r>
  <r>
    <x v="499"/>
    <x v="24"/>
    <x v="2"/>
    <s v="Delhi"/>
    <s v="Delhi"/>
    <x v="0"/>
    <s v="Table"/>
    <s v="Table"/>
    <x v="6"/>
    <x v="1"/>
    <n v="2"/>
    <n v="12823"/>
    <n v="5"/>
    <n v="24363.7"/>
    <n v="3897.12"/>
  </r>
  <r>
    <x v="500"/>
    <x v="88"/>
    <x v="3"/>
    <s v="Gujarat"/>
    <s v="Ahmedabad"/>
    <x v="0"/>
    <s v="Sofa"/>
    <s v="Sofa"/>
    <x v="3"/>
    <x v="0"/>
    <n v="7"/>
    <n v="44463"/>
    <n v="15"/>
    <n v="264554.84999999998"/>
    <n v="50084.1"/>
  </r>
  <r>
    <x v="501"/>
    <x v="287"/>
    <x v="2"/>
    <s v="Chandigarh"/>
    <s v="Chandigarh"/>
    <x v="2"/>
    <s v="Notebook"/>
    <s v="Notebook"/>
    <x v="7"/>
    <x v="0"/>
    <n v="3"/>
    <n v="42811"/>
    <n v="15"/>
    <n v="109168.05"/>
    <n v="13944.94"/>
  </r>
  <r>
    <x v="502"/>
    <x v="13"/>
    <x v="3"/>
    <s v="Gujarat"/>
    <s v="Ahmedabad"/>
    <x v="0"/>
    <s v="Desk"/>
    <s v="Desk"/>
    <x v="0"/>
    <x v="1"/>
    <n v="1"/>
    <n v="19607"/>
    <n v="5"/>
    <n v="18626.650000000001"/>
    <n v="3194.98"/>
  </r>
  <r>
    <x v="503"/>
    <x v="319"/>
    <x v="2"/>
    <s v="Delhi"/>
    <s v="Delhi"/>
    <x v="1"/>
    <s v="Monitor"/>
    <s v="Monitor"/>
    <x v="6"/>
    <x v="0"/>
    <n v="6"/>
    <n v="35176"/>
    <n v="15"/>
    <n v="179397.6"/>
    <n v="51299.51"/>
  </r>
  <r>
    <x v="504"/>
    <x v="118"/>
    <x v="2"/>
    <s v="Chandigarh"/>
    <s v="Chandigarh"/>
    <x v="1"/>
    <s v="Laptop"/>
    <s v="Laptop"/>
    <x v="5"/>
    <x v="0"/>
    <n v="7"/>
    <n v="13920"/>
    <n v="15"/>
    <n v="82824"/>
    <n v="18884.439999999999"/>
  </r>
  <r>
    <x v="505"/>
    <x v="57"/>
    <x v="2"/>
    <s v="Chandigarh"/>
    <s v="Chandigarh"/>
    <x v="2"/>
    <s v="Printer Paper"/>
    <s v="Printer Paper"/>
    <x v="7"/>
    <x v="0"/>
    <n v="1"/>
    <n v="29637"/>
    <n v="5"/>
    <n v="28155.15"/>
    <n v="7896.4"/>
  </r>
  <r>
    <x v="506"/>
    <x v="320"/>
    <x v="2"/>
    <s v="Delhi"/>
    <s v="Delhi"/>
    <x v="0"/>
    <s v="Desk"/>
    <s v="Desk"/>
    <x v="2"/>
    <x v="0"/>
    <n v="10"/>
    <n v="17145"/>
    <n v="20"/>
    <n v="137160"/>
    <n v="36410.83"/>
  </r>
  <r>
    <x v="507"/>
    <x v="301"/>
    <x v="0"/>
    <s v="West Bengal"/>
    <s v="Kolkata"/>
    <x v="0"/>
    <s v="Chair"/>
    <s v="Chair"/>
    <x v="1"/>
    <x v="1"/>
    <n v="1"/>
    <n v="32735"/>
    <n v="0"/>
    <n v="32735"/>
    <n v="7403.16"/>
  </r>
  <r>
    <x v="508"/>
    <x v="321"/>
    <x v="1"/>
    <s v="Karnataka"/>
    <s v="Bengaluru"/>
    <x v="1"/>
    <s v="Keyboard"/>
    <s v="Keyboard"/>
    <x v="7"/>
    <x v="0"/>
    <n v="3"/>
    <n v="3550"/>
    <n v="10"/>
    <n v="9585"/>
    <n v="770.46"/>
  </r>
  <r>
    <x v="509"/>
    <x v="322"/>
    <x v="0"/>
    <s v="Odisha"/>
    <s v="Bhubaneswar"/>
    <x v="1"/>
    <s v="Monitor"/>
    <s v="Monitor"/>
    <x v="0"/>
    <x v="0"/>
    <n v="7"/>
    <n v="9256"/>
    <n v="15"/>
    <n v="55073.2"/>
    <n v="14024.61"/>
  </r>
  <r>
    <x v="510"/>
    <x v="323"/>
    <x v="0"/>
    <s v="West Bengal"/>
    <s v="Kolkata"/>
    <x v="1"/>
    <s v="Monitor"/>
    <s v="Monitor"/>
    <x v="2"/>
    <x v="0"/>
    <n v="5"/>
    <n v="49676"/>
    <n v="15"/>
    <n v="211123"/>
    <n v="37411.57"/>
  </r>
  <r>
    <x v="511"/>
    <x v="324"/>
    <x v="3"/>
    <s v="Gujarat"/>
    <s v="Ahmedabad"/>
    <x v="1"/>
    <s v="Keyboard"/>
    <s v="Keyboard"/>
    <x v="2"/>
    <x v="0"/>
    <n v="7"/>
    <n v="31753"/>
    <n v="15"/>
    <n v="188930.35"/>
    <n v="32540.52"/>
  </r>
  <r>
    <x v="512"/>
    <x v="325"/>
    <x v="3"/>
    <s v="Maharashtra"/>
    <s v="Mumbai"/>
    <x v="2"/>
    <s v="Stapler"/>
    <s v="Stapler"/>
    <x v="7"/>
    <x v="0"/>
    <n v="2"/>
    <n v="22587"/>
    <n v="0"/>
    <n v="45174"/>
    <n v="10576.08"/>
  </r>
  <r>
    <x v="513"/>
    <x v="326"/>
    <x v="2"/>
    <s v="Chandigarh"/>
    <s v="Chandigarh"/>
    <x v="1"/>
    <s v="Laptop"/>
    <s v="Laptop"/>
    <x v="2"/>
    <x v="1"/>
    <n v="9"/>
    <n v="41688"/>
    <n v="20"/>
    <n v="300153.59999999998"/>
    <n v="63714.68"/>
  </r>
  <r>
    <x v="514"/>
    <x v="327"/>
    <x v="2"/>
    <s v="Chandigarh"/>
    <s v="Chandigarh"/>
    <x v="1"/>
    <s v="Laptop"/>
    <s v="Laptop"/>
    <x v="7"/>
    <x v="0"/>
    <n v="6"/>
    <n v="13084"/>
    <n v="5"/>
    <n v="74578.8"/>
    <n v="12976.83"/>
  </r>
  <r>
    <x v="515"/>
    <x v="218"/>
    <x v="1"/>
    <s v="Tamil Nadu"/>
    <s v="Chennai"/>
    <x v="1"/>
    <s v="Monitor"/>
    <s v="Monitor"/>
    <x v="3"/>
    <x v="1"/>
    <n v="9"/>
    <n v="42967"/>
    <n v="20"/>
    <n v="309362.40000000002"/>
    <n v="81438.100000000006"/>
  </r>
  <r>
    <x v="516"/>
    <x v="328"/>
    <x v="3"/>
    <s v="Gujarat"/>
    <s v="Ahmedabad"/>
    <x v="1"/>
    <s v="Mobile"/>
    <s v="Mobile"/>
    <x v="5"/>
    <x v="0"/>
    <n v="9"/>
    <n v="45685"/>
    <n v="15"/>
    <n v="349490.25"/>
    <n v="41722.69"/>
  </r>
  <r>
    <x v="517"/>
    <x v="329"/>
    <x v="3"/>
    <s v="Maharashtra"/>
    <s v="Mumbai"/>
    <x v="1"/>
    <s v="Keyboard"/>
    <s v="Keyboard"/>
    <x v="1"/>
    <x v="0"/>
    <n v="3"/>
    <n v="36151"/>
    <n v="5"/>
    <n v="103030.35"/>
    <n v="24037.05"/>
  </r>
  <r>
    <x v="518"/>
    <x v="330"/>
    <x v="1"/>
    <s v="Karnataka"/>
    <s v="Bengaluru"/>
    <x v="1"/>
    <s v="Monitor"/>
    <s v="Monitor"/>
    <x v="7"/>
    <x v="1"/>
    <n v="6"/>
    <n v="45687"/>
    <n v="10"/>
    <n v="246709.8"/>
    <n v="30473.200000000001"/>
  </r>
  <r>
    <x v="519"/>
    <x v="227"/>
    <x v="1"/>
    <s v="Tamil Nadu"/>
    <s v="Chennai"/>
    <x v="2"/>
    <s v="Pen"/>
    <s v="Pen"/>
    <x v="3"/>
    <x v="1"/>
    <n v="3"/>
    <n v="2031"/>
    <n v="20"/>
    <n v="4874.3999999999996"/>
    <n v="657.04"/>
  </r>
  <r>
    <x v="520"/>
    <x v="119"/>
    <x v="2"/>
    <s v="Chandigarh"/>
    <s v="Chandigarh"/>
    <x v="2"/>
    <s v="Notebook"/>
    <s v="Notebook"/>
    <x v="1"/>
    <x v="1"/>
    <n v="8"/>
    <n v="19009"/>
    <n v="5"/>
    <n v="144468.4"/>
    <n v="28437.8"/>
  </r>
  <r>
    <x v="521"/>
    <x v="178"/>
    <x v="2"/>
    <s v="Chandigarh"/>
    <s v="Chandigarh"/>
    <x v="1"/>
    <s v="Keyboard"/>
    <s v="Keyboard"/>
    <x v="6"/>
    <x v="0"/>
    <n v="3"/>
    <n v="44560"/>
    <n v="15"/>
    <n v="113628"/>
    <n v="30095.47"/>
  </r>
  <r>
    <x v="522"/>
    <x v="324"/>
    <x v="0"/>
    <s v="West Bengal"/>
    <s v="Kolkata"/>
    <x v="2"/>
    <s v="Notebook"/>
    <s v="Notebook"/>
    <x v="0"/>
    <x v="0"/>
    <n v="6"/>
    <n v="29521"/>
    <n v="10"/>
    <n v="159413.4"/>
    <n v="34160.519999999997"/>
  </r>
  <r>
    <x v="523"/>
    <x v="218"/>
    <x v="0"/>
    <s v="Odisha"/>
    <s v="Bhubaneswar"/>
    <x v="1"/>
    <s v="Mobile"/>
    <s v="Mobile"/>
    <x v="0"/>
    <x v="0"/>
    <n v="9"/>
    <n v="3955"/>
    <n v="5"/>
    <n v="33815.25"/>
    <n v="5730.46"/>
  </r>
  <r>
    <x v="524"/>
    <x v="319"/>
    <x v="3"/>
    <s v="Gujarat"/>
    <s v="Ahmedabad"/>
    <x v="1"/>
    <s v="Mobile"/>
    <s v="Mobile"/>
    <x v="2"/>
    <x v="0"/>
    <n v="5"/>
    <n v="27010"/>
    <n v="20"/>
    <n v="108040"/>
    <n v="13602.64"/>
  </r>
  <r>
    <x v="525"/>
    <x v="257"/>
    <x v="0"/>
    <s v="Odisha"/>
    <s v="Bhubaneswar"/>
    <x v="0"/>
    <s v="Desk"/>
    <s v="Desk"/>
    <x v="2"/>
    <x v="0"/>
    <n v="6"/>
    <n v="1923"/>
    <n v="0"/>
    <n v="11538"/>
    <n v="1017.08"/>
  </r>
  <r>
    <x v="526"/>
    <x v="158"/>
    <x v="3"/>
    <s v="Maharashtra"/>
    <s v="Mumbai"/>
    <x v="0"/>
    <s v="Sofa"/>
    <s v="Sofa"/>
    <x v="6"/>
    <x v="0"/>
    <n v="7"/>
    <n v="33950"/>
    <n v="10"/>
    <n v="213885"/>
    <n v="38064.660000000003"/>
  </r>
  <r>
    <x v="527"/>
    <x v="130"/>
    <x v="1"/>
    <s v="Karnataka"/>
    <s v="Bengaluru"/>
    <x v="2"/>
    <s v="Pen"/>
    <s v="Pen"/>
    <x v="4"/>
    <x v="0"/>
    <n v="6"/>
    <n v="46474"/>
    <n v="15"/>
    <n v="237017.4"/>
    <n v="29202.29"/>
  </r>
  <r>
    <x v="528"/>
    <x v="260"/>
    <x v="2"/>
    <s v="Delhi"/>
    <s v="Delhi"/>
    <x v="0"/>
    <s v="Chair"/>
    <s v="Chair"/>
    <x v="5"/>
    <x v="1"/>
    <n v="8"/>
    <n v="49327"/>
    <n v="15"/>
    <n v="335423.59999999998"/>
    <n v="76369.39"/>
  </r>
  <r>
    <x v="529"/>
    <x v="248"/>
    <x v="2"/>
    <s v="Delhi"/>
    <s v="Delhi"/>
    <x v="0"/>
    <s v="Chair"/>
    <s v="Chair"/>
    <x v="5"/>
    <x v="1"/>
    <n v="2"/>
    <n v="41387"/>
    <n v="5"/>
    <n v="78635.3"/>
    <n v="12286.25"/>
  </r>
  <r>
    <x v="530"/>
    <x v="259"/>
    <x v="0"/>
    <s v="Odisha"/>
    <s v="Bhubaneswar"/>
    <x v="2"/>
    <s v="Pen"/>
    <s v="Pen"/>
    <x v="2"/>
    <x v="1"/>
    <n v="1"/>
    <n v="5871"/>
    <n v="10"/>
    <n v="5283.9"/>
    <n v="1455.61"/>
  </r>
  <r>
    <x v="531"/>
    <x v="44"/>
    <x v="1"/>
    <s v="Karnataka"/>
    <s v="Bengaluru"/>
    <x v="0"/>
    <s v="Desk"/>
    <s v="Desk"/>
    <x v="0"/>
    <x v="1"/>
    <n v="3"/>
    <n v="37853"/>
    <n v="20"/>
    <n v="90847.2"/>
    <n v="12551.84"/>
  </r>
  <r>
    <x v="532"/>
    <x v="276"/>
    <x v="3"/>
    <s v="Gujarat"/>
    <s v="Ahmedabad"/>
    <x v="1"/>
    <s v="Keyboard"/>
    <s v="Keyboard"/>
    <x v="4"/>
    <x v="1"/>
    <n v="1"/>
    <n v="15371"/>
    <n v="15"/>
    <n v="13065.35"/>
    <n v="3703.34"/>
  </r>
  <r>
    <x v="533"/>
    <x v="331"/>
    <x v="3"/>
    <s v="Maharashtra"/>
    <s v="Mumbai"/>
    <x v="1"/>
    <s v="Mobile"/>
    <s v="Mobile"/>
    <x v="5"/>
    <x v="1"/>
    <n v="3"/>
    <n v="34172"/>
    <n v="5"/>
    <n v="97390.2"/>
    <n v="7416.01"/>
  </r>
  <r>
    <x v="534"/>
    <x v="134"/>
    <x v="2"/>
    <s v="Delhi"/>
    <s v="Delhi"/>
    <x v="1"/>
    <s v="Laptop"/>
    <s v="Laptop"/>
    <x v="0"/>
    <x v="0"/>
    <n v="5"/>
    <n v="42761"/>
    <n v="5"/>
    <n v="203114.75"/>
    <n v="33342.269999999997"/>
  </r>
  <r>
    <x v="535"/>
    <x v="332"/>
    <x v="2"/>
    <s v="Delhi"/>
    <s v="Delhi"/>
    <x v="1"/>
    <s v="Mobile"/>
    <s v="Mobile"/>
    <x v="1"/>
    <x v="0"/>
    <n v="9"/>
    <n v="28091"/>
    <n v="0"/>
    <n v="252819"/>
    <n v="67918.259999999995"/>
  </r>
  <r>
    <x v="536"/>
    <x v="63"/>
    <x v="1"/>
    <s v="Karnataka"/>
    <s v="Bengaluru"/>
    <x v="1"/>
    <s v="Mobile"/>
    <s v="Mobile"/>
    <x v="1"/>
    <x v="1"/>
    <n v="9"/>
    <n v="19891"/>
    <n v="0"/>
    <n v="179019"/>
    <n v="36633.79"/>
  </r>
  <r>
    <x v="537"/>
    <x v="333"/>
    <x v="1"/>
    <s v="Karnataka"/>
    <s v="Bengaluru"/>
    <x v="0"/>
    <s v="Chair"/>
    <s v="Chair"/>
    <x v="2"/>
    <x v="1"/>
    <n v="6"/>
    <n v="18469"/>
    <n v="0"/>
    <n v="110814"/>
    <n v="23001.68"/>
  </r>
  <r>
    <x v="538"/>
    <x v="24"/>
    <x v="1"/>
    <s v="Tamil Nadu"/>
    <s v="Chennai"/>
    <x v="1"/>
    <s v="Laptop"/>
    <s v="Laptop"/>
    <x v="4"/>
    <x v="0"/>
    <n v="6"/>
    <n v="33435"/>
    <n v="20"/>
    <n v="160488"/>
    <n v="37384.51"/>
  </r>
  <r>
    <x v="539"/>
    <x v="108"/>
    <x v="1"/>
    <s v="Tamil Nadu"/>
    <s v="Chennai"/>
    <x v="2"/>
    <s v="Stapler"/>
    <s v="Stapler"/>
    <x v="4"/>
    <x v="1"/>
    <n v="10"/>
    <n v="9921"/>
    <n v="5"/>
    <n v="94249.5"/>
    <n v="9943.2099999999991"/>
  </r>
  <r>
    <x v="540"/>
    <x v="197"/>
    <x v="3"/>
    <s v="Gujarat"/>
    <s v="Ahmedabad"/>
    <x v="0"/>
    <s v="Desk"/>
    <s v="Desk"/>
    <x v="5"/>
    <x v="1"/>
    <n v="7"/>
    <n v="39363"/>
    <n v="15"/>
    <n v="234209.85"/>
    <n v="19744.02"/>
  </r>
  <r>
    <x v="541"/>
    <x v="188"/>
    <x v="0"/>
    <s v="West Bengal"/>
    <s v="Kolkata"/>
    <x v="1"/>
    <s v="Laptop"/>
    <s v="Laptop"/>
    <x v="6"/>
    <x v="1"/>
    <n v="4"/>
    <n v="41132"/>
    <n v="0"/>
    <n v="164528"/>
    <n v="45102.12"/>
  </r>
  <r>
    <x v="542"/>
    <x v="5"/>
    <x v="0"/>
    <s v="Odisha"/>
    <s v="Bhubaneswar"/>
    <x v="2"/>
    <s v="Pen"/>
    <s v="Pen"/>
    <x v="4"/>
    <x v="0"/>
    <n v="7"/>
    <n v="7770"/>
    <n v="0"/>
    <n v="54390"/>
    <n v="8110.69"/>
  </r>
  <r>
    <x v="543"/>
    <x v="163"/>
    <x v="2"/>
    <s v="Chandigarh"/>
    <s v="Chandigarh"/>
    <x v="1"/>
    <s v="Mobile"/>
    <s v="Mobile"/>
    <x v="5"/>
    <x v="1"/>
    <n v="4"/>
    <n v="17157"/>
    <n v="20"/>
    <n v="54902.400000000001"/>
    <n v="2868.57"/>
  </r>
  <r>
    <x v="544"/>
    <x v="334"/>
    <x v="3"/>
    <s v="Maharashtra"/>
    <s v="Mumbai"/>
    <x v="0"/>
    <s v="Desk"/>
    <s v="Desk"/>
    <x v="5"/>
    <x v="1"/>
    <n v="2"/>
    <n v="13069"/>
    <n v="5"/>
    <n v="24831.1"/>
    <n v="3054.38"/>
  </r>
  <r>
    <x v="545"/>
    <x v="219"/>
    <x v="3"/>
    <s v="Gujarat"/>
    <s v="Ahmedabad"/>
    <x v="2"/>
    <s v="Notebook"/>
    <s v="Notebook"/>
    <x v="1"/>
    <x v="1"/>
    <n v="9"/>
    <n v="7927"/>
    <n v="10"/>
    <n v="64208.7"/>
    <n v="10177.6"/>
  </r>
  <r>
    <x v="546"/>
    <x v="292"/>
    <x v="0"/>
    <s v="West Bengal"/>
    <s v="Kolkata"/>
    <x v="0"/>
    <s v="Chair"/>
    <s v="Chair"/>
    <x v="4"/>
    <x v="0"/>
    <n v="8"/>
    <n v="23877"/>
    <n v="10"/>
    <n v="171914.4"/>
    <n v="11217.93"/>
  </r>
  <r>
    <x v="547"/>
    <x v="251"/>
    <x v="1"/>
    <s v="Karnataka"/>
    <s v="Bengaluru"/>
    <x v="0"/>
    <s v="Sofa"/>
    <s v="Sofa"/>
    <x v="0"/>
    <x v="1"/>
    <n v="10"/>
    <n v="27931"/>
    <n v="0"/>
    <n v="279310"/>
    <n v="19454.52"/>
  </r>
  <r>
    <x v="548"/>
    <x v="265"/>
    <x v="0"/>
    <s v="Odisha"/>
    <s v="Bhubaneswar"/>
    <x v="0"/>
    <s v="Desk"/>
    <s v="Desk"/>
    <x v="3"/>
    <x v="0"/>
    <n v="8"/>
    <n v="18871"/>
    <n v="10"/>
    <n v="135871.20000000001"/>
    <n v="15939.88"/>
  </r>
  <r>
    <x v="549"/>
    <x v="0"/>
    <x v="3"/>
    <s v="Maharashtra"/>
    <s v="Mumbai"/>
    <x v="1"/>
    <s v="Monitor"/>
    <s v="Monitor"/>
    <x v="4"/>
    <x v="0"/>
    <n v="8"/>
    <n v="44257"/>
    <n v="20"/>
    <n v="283244.79999999999"/>
    <n v="38895.96"/>
  </r>
  <r>
    <x v="550"/>
    <x v="335"/>
    <x v="3"/>
    <s v="Gujarat"/>
    <s v="Ahmedabad"/>
    <x v="2"/>
    <s v="Notebook"/>
    <s v="Notebook"/>
    <x v="5"/>
    <x v="0"/>
    <n v="1"/>
    <n v="36641"/>
    <n v="20"/>
    <n v="29312.799999999999"/>
    <n v="7011.79"/>
  </r>
  <r>
    <x v="551"/>
    <x v="283"/>
    <x v="2"/>
    <s v="Delhi"/>
    <s v="Delhi"/>
    <x v="0"/>
    <s v="Sofa"/>
    <s v="Sofa"/>
    <x v="5"/>
    <x v="0"/>
    <n v="6"/>
    <n v="8476"/>
    <n v="20"/>
    <n v="40684.800000000003"/>
    <n v="2666.81"/>
  </r>
  <r>
    <x v="552"/>
    <x v="336"/>
    <x v="0"/>
    <s v="West Bengal"/>
    <s v="Kolkata"/>
    <x v="2"/>
    <s v="Stapler"/>
    <s v="Stapler"/>
    <x v="0"/>
    <x v="0"/>
    <n v="6"/>
    <n v="49886"/>
    <n v="0"/>
    <n v="299316"/>
    <n v="84892.42"/>
  </r>
  <r>
    <x v="553"/>
    <x v="36"/>
    <x v="1"/>
    <s v="Tamil Nadu"/>
    <s v="Chennai"/>
    <x v="2"/>
    <s v="Printer Paper"/>
    <s v="Printer Paper"/>
    <x v="6"/>
    <x v="0"/>
    <n v="10"/>
    <n v="33545"/>
    <n v="15"/>
    <n v="285132.5"/>
    <n v="60638.07"/>
  </r>
  <r>
    <x v="554"/>
    <x v="252"/>
    <x v="3"/>
    <s v="Gujarat"/>
    <s v="Ahmedabad"/>
    <x v="2"/>
    <s v="Pen"/>
    <s v="Pen"/>
    <x v="3"/>
    <x v="0"/>
    <n v="5"/>
    <n v="5446"/>
    <n v="15"/>
    <n v="23145.5"/>
    <n v="2574.7800000000002"/>
  </r>
  <r>
    <x v="555"/>
    <x v="337"/>
    <x v="2"/>
    <s v="Delhi"/>
    <s v="Delhi"/>
    <x v="0"/>
    <s v="Chair"/>
    <s v="Chair"/>
    <x v="2"/>
    <x v="0"/>
    <n v="8"/>
    <n v="28138"/>
    <n v="5"/>
    <n v="213848.8"/>
    <n v="16580.87"/>
  </r>
  <r>
    <x v="556"/>
    <x v="338"/>
    <x v="2"/>
    <s v="Delhi"/>
    <s v="Delhi"/>
    <x v="2"/>
    <s v="Notebook"/>
    <s v="Notebook"/>
    <x v="0"/>
    <x v="1"/>
    <n v="8"/>
    <n v="8816"/>
    <n v="0"/>
    <n v="70528"/>
    <n v="12080.56"/>
  </r>
  <r>
    <x v="557"/>
    <x v="339"/>
    <x v="1"/>
    <s v="Karnataka"/>
    <s v="Bengaluru"/>
    <x v="2"/>
    <s v="Printer Paper"/>
    <s v="Printer Paper"/>
    <x v="2"/>
    <x v="1"/>
    <n v="5"/>
    <n v="36098"/>
    <n v="20"/>
    <n v="144392"/>
    <n v="21891.03"/>
  </r>
  <r>
    <x v="558"/>
    <x v="340"/>
    <x v="3"/>
    <s v="Gujarat"/>
    <s v="Ahmedabad"/>
    <x v="2"/>
    <s v="Printer Paper"/>
    <s v="Printer Paper"/>
    <x v="0"/>
    <x v="0"/>
    <n v="10"/>
    <n v="43159"/>
    <n v="20"/>
    <n v="345272"/>
    <n v="36765.14"/>
  </r>
  <r>
    <x v="559"/>
    <x v="305"/>
    <x v="0"/>
    <s v="West Bengal"/>
    <s v="Kolkata"/>
    <x v="0"/>
    <s v="Sofa"/>
    <s v="Sofa"/>
    <x v="6"/>
    <x v="1"/>
    <n v="2"/>
    <n v="7341"/>
    <n v="20"/>
    <n v="11745.6"/>
    <n v="2406.06"/>
  </r>
  <r>
    <x v="560"/>
    <x v="174"/>
    <x v="1"/>
    <s v="Tamil Nadu"/>
    <s v="Chennai"/>
    <x v="2"/>
    <s v="Printer Paper"/>
    <s v="Printer Paper"/>
    <x v="1"/>
    <x v="1"/>
    <n v="5"/>
    <n v="19068"/>
    <n v="0"/>
    <n v="95340"/>
    <n v="4982.71"/>
  </r>
  <r>
    <x v="561"/>
    <x v="341"/>
    <x v="2"/>
    <s v="Chandigarh"/>
    <s v="Chandigarh"/>
    <x v="0"/>
    <s v="Desk"/>
    <s v="Desk"/>
    <x v="4"/>
    <x v="0"/>
    <n v="2"/>
    <n v="28995"/>
    <n v="0"/>
    <n v="57990"/>
    <n v="11194.76"/>
  </r>
  <r>
    <x v="562"/>
    <x v="342"/>
    <x v="1"/>
    <s v="Tamil Nadu"/>
    <s v="Chennai"/>
    <x v="0"/>
    <s v="Sofa"/>
    <s v="Sofa"/>
    <x v="0"/>
    <x v="0"/>
    <n v="10"/>
    <n v="10339"/>
    <n v="15"/>
    <n v="87881.5"/>
    <n v="9822.7199999999993"/>
  </r>
  <r>
    <x v="563"/>
    <x v="343"/>
    <x v="2"/>
    <s v="Delhi"/>
    <s v="Delhi"/>
    <x v="2"/>
    <s v="Pen"/>
    <s v="Pen"/>
    <x v="1"/>
    <x v="0"/>
    <n v="1"/>
    <n v="26207"/>
    <n v="15"/>
    <n v="22275.95"/>
    <n v="6664.5"/>
  </r>
  <r>
    <x v="564"/>
    <x v="344"/>
    <x v="0"/>
    <s v="Odisha"/>
    <s v="Bhubaneswar"/>
    <x v="2"/>
    <s v="Pen"/>
    <s v="Pen"/>
    <x v="3"/>
    <x v="0"/>
    <n v="2"/>
    <n v="32371"/>
    <n v="20"/>
    <n v="51793.599999999999"/>
    <n v="6402.77"/>
  </r>
  <r>
    <x v="565"/>
    <x v="345"/>
    <x v="1"/>
    <s v="Tamil Nadu"/>
    <s v="Chennai"/>
    <x v="0"/>
    <s v="Desk"/>
    <s v="Desk"/>
    <x v="1"/>
    <x v="1"/>
    <n v="6"/>
    <n v="16503"/>
    <n v="20"/>
    <n v="79214.399999999994"/>
    <n v="9273.74"/>
  </r>
  <r>
    <x v="566"/>
    <x v="295"/>
    <x v="2"/>
    <s v="Chandigarh"/>
    <s v="Chandigarh"/>
    <x v="1"/>
    <s v="Laptop"/>
    <s v="Laptop"/>
    <x v="3"/>
    <x v="0"/>
    <n v="7"/>
    <n v="27178"/>
    <n v="0"/>
    <n v="190246"/>
    <n v="24619.18"/>
  </r>
  <r>
    <x v="567"/>
    <x v="320"/>
    <x v="2"/>
    <s v="Chandigarh"/>
    <s v="Chandigarh"/>
    <x v="1"/>
    <s v="Laptop"/>
    <s v="Laptop"/>
    <x v="6"/>
    <x v="1"/>
    <n v="3"/>
    <n v="23420"/>
    <n v="15"/>
    <n v="59721"/>
    <n v="13730.62"/>
  </r>
  <r>
    <x v="568"/>
    <x v="346"/>
    <x v="1"/>
    <s v="Tamil Nadu"/>
    <s v="Chennai"/>
    <x v="1"/>
    <s v="Mobile"/>
    <s v="Mobile"/>
    <x v="4"/>
    <x v="0"/>
    <n v="8"/>
    <n v="41470"/>
    <n v="5"/>
    <n v="315172"/>
    <n v="71374.850000000006"/>
  </r>
  <r>
    <x v="569"/>
    <x v="92"/>
    <x v="1"/>
    <s v="Tamil Nadu"/>
    <s v="Chennai"/>
    <x v="1"/>
    <s v="Keyboard"/>
    <s v="Keyboard"/>
    <x v="2"/>
    <x v="0"/>
    <n v="9"/>
    <n v="25707"/>
    <n v="0"/>
    <n v="231363"/>
    <n v="26209.34"/>
  </r>
  <r>
    <x v="570"/>
    <x v="347"/>
    <x v="1"/>
    <s v="Tamil Nadu"/>
    <s v="Chennai"/>
    <x v="1"/>
    <s v="Mobile"/>
    <s v="Mobile"/>
    <x v="7"/>
    <x v="1"/>
    <n v="8"/>
    <n v="20531"/>
    <n v="10"/>
    <n v="147823.20000000001"/>
    <n v="13000.73"/>
  </r>
  <r>
    <x v="571"/>
    <x v="15"/>
    <x v="3"/>
    <s v="Gujarat"/>
    <s v="Ahmedabad"/>
    <x v="1"/>
    <s v="Laptop"/>
    <s v="Laptop"/>
    <x v="3"/>
    <x v="1"/>
    <n v="4"/>
    <n v="11893"/>
    <n v="20"/>
    <n v="38057.599999999999"/>
    <n v="3541.95"/>
  </r>
  <r>
    <x v="572"/>
    <x v="261"/>
    <x v="3"/>
    <s v="Gujarat"/>
    <s v="Ahmedabad"/>
    <x v="1"/>
    <s v="Monitor"/>
    <s v="Monitor"/>
    <x v="5"/>
    <x v="0"/>
    <n v="4"/>
    <n v="34214"/>
    <n v="5"/>
    <n v="130013.2"/>
    <n v="20959.599999999999"/>
  </r>
  <r>
    <x v="573"/>
    <x v="218"/>
    <x v="3"/>
    <s v="Gujarat"/>
    <s v="Ahmedabad"/>
    <x v="2"/>
    <s v="Notebook"/>
    <s v="Notebook"/>
    <x v="0"/>
    <x v="1"/>
    <n v="4"/>
    <n v="30319"/>
    <n v="5"/>
    <n v="115212.2"/>
    <n v="23285.91"/>
  </r>
  <r>
    <x v="574"/>
    <x v="91"/>
    <x v="1"/>
    <s v="Tamil Nadu"/>
    <s v="Chennai"/>
    <x v="2"/>
    <s v="Stapler"/>
    <s v="Stapler"/>
    <x v="3"/>
    <x v="0"/>
    <n v="2"/>
    <n v="48205"/>
    <n v="20"/>
    <n v="77128"/>
    <n v="12188.76"/>
  </r>
  <r>
    <x v="575"/>
    <x v="106"/>
    <x v="0"/>
    <s v="West Bengal"/>
    <s v="Kolkata"/>
    <x v="1"/>
    <s v="Monitor"/>
    <s v="Monitor"/>
    <x v="7"/>
    <x v="1"/>
    <n v="5"/>
    <n v="12088"/>
    <n v="15"/>
    <n v="51374"/>
    <n v="4460.21"/>
  </r>
  <r>
    <x v="576"/>
    <x v="348"/>
    <x v="1"/>
    <s v="Tamil Nadu"/>
    <s v="Chennai"/>
    <x v="1"/>
    <s v="Monitor"/>
    <s v="Monitor"/>
    <x v="1"/>
    <x v="0"/>
    <n v="2"/>
    <n v="13277"/>
    <n v="10"/>
    <n v="23898.6"/>
    <n v="4587.53"/>
  </r>
  <r>
    <x v="577"/>
    <x v="260"/>
    <x v="1"/>
    <s v="Karnataka"/>
    <s v="Bengaluru"/>
    <x v="0"/>
    <s v="Sofa"/>
    <s v="Sofa"/>
    <x v="0"/>
    <x v="0"/>
    <n v="9"/>
    <n v="49735"/>
    <n v="5"/>
    <n v="425234.25"/>
    <n v="62413.99"/>
  </r>
  <r>
    <x v="578"/>
    <x v="349"/>
    <x v="2"/>
    <s v="Chandigarh"/>
    <s v="Chandigarh"/>
    <x v="1"/>
    <s v="Keyboard"/>
    <s v="Keyboard"/>
    <x v="1"/>
    <x v="0"/>
    <n v="8"/>
    <n v="45458"/>
    <n v="5"/>
    <n v="345480.8"/>
    <n v="27904.19"/>
  </r>
  <r>
    <x v="579"/>
    <x v="235"/>
    <x v="3"/>
    <s v="Maharashtra"/>
    <s v="Mumbai"/>
    <x v="2"/>
    <s v="Stapler"/>
    <s v="Stapler"/>
    <x v="3"/>
    <x v="1"/>
    <n v="2"/>
    <n v="12563"/>
    <n v="5"/>
    <n v="23869.7"/>
    <n v="1809.4"/>
  </r>
  <r>
    <x v="580"/>
    <x v="350"/>
    <x v="2"/>
    <s v="Chandigarh"/>
    <s v="Chandigarh"/>
    <x v="0"/>
    <s v="Chair"/>
    <s v="Chair"/>
    <x v="0"/>
    <x v="0"/>
    <n v="3"/>
    <n v="19645"/>
    <n v="0"/>
    <n v="58935"/>
    <n v="5859.72"/>
  </r>
  <r>
    <x v="581"/>
    <x v="351"/>
    <x v="2"/>
    <s v="Chandigarh"/>
    <s v="Chandigarh"/>
    <x v="0"/>
    <s v="Chair"/>
    <s v="Chair"/>
    <x v="4"/>
    <x v="0"/>
    <n v="2"/>
    <n v="48084"/>
    <n v="5"/>
    <n v="91359.6"/>
    <n v="25570.5"/>
  </r>
  <r>
    <x v="582"/>
    <x v="352"/>
    <x v="1"/>
    <s v="Karnataka"/>
    <s v="Bengaluru"/>
    <x v="0"/>
    <s v="Sofa"/>
    <s v="Sofa"/>
    <x v="5"/>
    <x v="0"/>
    <n v="3"/>
    <n v="48842"/>
    <n v="15"/>
    <n v="124547.1"/>
    <n v="26131.64"/>
  </r>
  <r>
    <x v="583"/>
    <x v="31"/>
    <x v="3"/>
    <s v="Gujarat"/>
    <s v="Ahmedabad"/>
    <x v="2"/>
    <s v="Notebook"/>
    <s v="Notebook"/>
    <x v="0"/>
    <x v="0"/>
    <n v="9"/>
    <n v="26027"/>
    <n v="0"/>
    <n v="234243"/>
    <n v="36359.69"/>
  </r>
  <r>
    <x v="584"/>
    <x v="255"/>
    <x v="3"/>
    <s v="Maharashtra"/>
    <s v="Mumbai"/>
    <x v="1"/>
    <s v="Keyboard"/>
    <s v="Keyboard"/>
    <x v="0"/>
    <x v="0"/>
    <n v="2"/>
    <n v="36710"/>
    <n v="0"/>
    <n v="73420"/>
    <n v="5670.7"/>
  </r>
  <r>
    <x v="585"/>
    <x v="353"/>
    <x v="3"/>
    <s v="Maharashtra"/>
    <s v="Mumbai"/>
    <x v="0"/>
    <s v="Chair"/>
    <s v="Chair"/>
    <x v="2"/>
    <x v="1"/>
    <n v="8"/>
    <n v="38949"/>
    <n v="0"/>
    <n v="311592"/>
    <n v="86143.59"/>
  </r>
  <r>
    <x v="586"/>
    <x v="324"/>
    <x v="1"/>
    <s v="Karnataka"/>
    <s v="Bengaluru"/>
    <x v="2"/>
    <s v="Printer Paper"/>
    <s v="Printer Paper"/>
    <x v="7"/>
    <x v="1"/>
    <n v="4"/>
    <n v="30943"/>
    <n v="15"/>
    <n v="105206.2"/>
    <n v="7402"/>
  </r>
  <r>
    <x v="587"/>
    <x v="354"/>
    <x v="0"/>
    <s v="Odisha"/>
    <s v="Bhubaneswar"/>
    <x v="0"/>
    <s v="Desk"/>
    <s v="Desk"/>
    <x v="4"/>
    <x v="1"/>
    <n v="10"/>
    <n v="15884"/>
    <n v="5"/>
    <n v="150898"/>
    <n v="34485.21"/>
  </r>
  <r>
    <x v="588"/>
    <x v="355"/>
    <x v="1"/>
    <s v="Karnataka"/>
    <s v="Bengaluru"/>
    <x v="1"/>
    <s v="Monitor"/>
    <s v="Monitor"/>
    <x v="1"/>
    <x v="1"/>
    <n v="3"/>
    <n v="7025"/>
    <n v="0"/>
    <n v="21075"/>
    <n v="3617.58"/>
  </r>
  <r>
    <x v="589"/>
    <x v="328"/>
    <x v="1"/>
    <s v="Tamil Nadu"/>
    <s v="Chennai"/>
    <x v="2"/>
    <s v="Stapler"/>
    <s v="Stapler"/>
    <x v="6"/>
    <x v="0"/>
    <n v="2"/>
    <n v="22521"/>
    <n v="10"/>
    <n v="40537.800000000003"/>
    <n v="6207.16"/>
  </r>
  <r>
    <x v="590"/>
    <x v="356"/>
    <x v="3"/>
    <s v="Maharashtra"/>
    <s v="Mumbai"/>
    <x v="1"/>
    <s v="Keyboard"/>
    <s v="Keyboard"/>
    <x v="6"/>
    <x v="1"/>
    <n v="6"/>
    <n v="1339"/>
    <n v="0"/>
    <n v="8034"/>
    <n v="1015.6"/>
  </r>
  <r>
    <x v="591"/>
    <x v="293"/>
    <x v="2"/>
    <s v="Chandigarh"/>
    <s v="Chandigarh"/>
    <x v="2"/>
    <s v="Pen"/>
    <s v="Pen"/>
    <x v="1"/>
    <x v="1"/>
    <n v="7"/>
    <n v="7790"/>
    <n v="0"/>
    <n v="54530"/>
    <n v="9190.26"/>
  </r>
  <r>
    <x v="592"/>
    <x v="357"/>
    <x v="1"/>
    <s v="Tamil Nadu"/>
    <s v="Chennai"/>
    <x v="0"/>
    <s v="Chair"/>
    <s v="Chair"/>
    <x v="3"/>
    <x v="0"/>
    <n v="5"/>
    <n v="9577"/>
    <n v="10"/>
    <n v="43096.5"/>
    <n v="7191.39"/>
  </r>
  <r>
    <x v="593"/>
    <x v="63"/>
    <x v="1"/>
    <s v="Karnataka"/>
    <s v="Bengaluru"/>
    <x v="1"/>
    <s v="Monitor"/>
    <s v="Monitor"/>
    <x v="4"/>
    <x v="0"/>
    <n v="3"/>
    <n v="42699"/>
    <n v="5"/>
    <n v="121692.15"/>
    <n v="25548.71"/>
  </r>
  <r>
    <x v="594"/>
    <x v="133"/>
    <x v="3"/>
    <s v="Gujarat"/>
    <s v="Ahmedabad"/>
    <x v="2"/>
    <s v="Notebook"/>
    <s v="Notebook"/>
    <x v="2"/>
    <x v="0"/>
    <n v="7"/>
    <n v="41315"/>
    <n v="5"/>
    <n v="274744.75"/>
    <n v="24343.66"/>
  </r>
  <r>
    <x v="595"/>
    <x v="243"/>
    <x v="0"/>
    <s v="Odisha"/>
    <s v="Bhubaneswar"/>
    <x v="0"/>
    <s v="Chair"/>
    <s v="Chair"/>
    <x v="5"/>
    <x v="0"/>
    <n v="7"/>
    <n v="27299"/>
    <n v="15"/>
    <n v="162429.04999999999"/>
    <n v="30553.18"/>
  </r>
  <r>
    <x v="596"/>
    <x v="187"/>
    <x v="3"/>
    <s v="Gujarat"/>
    <s v="Ahmedabad"/>
    <x v="2"/>
    <s v="Notebook"/>
    <s v="Notebook"/>
    <x v="5"/>
    <x v="1"/>
    <n v="7"/>
    <n v="6567"/>
    <n v="15"/>
    <n v="39073.65"/>
    <n v="6178.19"/>
  </r>
  <r>
    <x v="597"/>
    <x v="295"/>
    <x v="3"/>
    <s v="Maharashtra"/>
    <s v="Mumbai"/>
    <x v="2"/>
    <s v="Pen"/>
    <s v="Pen"/>
    <x v="4"/>
    <x v="1"/>
    <n v="4"/>
    <n v="15915"/>
    <n v="5"/>
    <n v="60477"/>
    <n v="7064.25"/>
  </r>
  <r>
    <x v="598"/>
    <x v="358"/>
    <x v="2"/>
    <s v="Chandigarh"/>
    <s v="Chandigarh"/>
    <x v="0"/>
    <s v="Sofa"/>
    <s v="Sofa"/>
    <x v="7"/>
    <x v="0"/>
    <n v="6"/>
    <n v="40010"/>
    <n v="15"/>
    <n v="204051"/>
    <n v="27524.35"/>
  </r>
  <r>
    <x v="599"/>
    <x v="84"/>
    <x v="0"/>
    <s v="Odisha"/>
    <s v="Bhubaneswar"/>
    <x v="1"/>
    <s v="Laptop"/>
    <s v="Laptop"/>
    <x v="3"/>
    <x v="1"/>
    <n v="2"/>
    <n v="13335"/>
    <n v="20"/>
    <n v="21336"/>
    <n v="1411.57"/>
  </r>
  <r>
    <x v="600"/>
    <x v="194"/>
    <x v="3"/>
    <s v="Gujarat"/>
    <s v="Ahmedabad"/>
    <x v="0"/>
    <s v="Desk"/>
    <s v="Desk"/>
    <x v="5"/>
    <x v="1"/>
    <n v="6"/>
    <n v="33913"/>
    <n v="10"/>
    <n v="183130.2"/>
    <n v="10708.56"/>
  </r>
  <r>
    <x v="601"/>
    <x v="147"/>
    <x v="1"/>
    <s v="Karnataka"/>
    <s v="Bengaluru"/>
    <x v="1"/>
    <s v="Keyboard"/>
    <s v="Keyboard"/>
    <x v="5"/>
    <x v="1"/>
    <n v="6"/>
    <n v="4730"/>
    <n v="15"/>
    <n v="24123"/>
    <n v="3421.25"/>
  </r>
  <r>
    <x v="602"/>
    <x v="359"/>
    <x v="3"/>
    <s v="Maharashtra"/>
    <s v="Mumbai"/>
    <x v="0"/>
    <s v="Desk"/>
    <s v="Desk"/>
    <x v="0"/>
    <x v="1"/>
    <n v="7"/>
    <n v="20682"/>
    <n v="10"/>
    <n v="130296.6"/>
    <n v="8148.79"/>
  </r>
  <r>
    <x v="603"/>
    <x v="360"/>
    <x v="1"/>
    <s v="Tamil Nadu"/>
    <s v="Chennai"/>
    <x v="0"/>
    <s v="Sofa"/>
    <s v="Sofa"/>
    <x v="0"/>
    <x v="1"/>
    <n v="9"/>
    <n v="42445"/>
    <n v="5"/>
    <n v="362904.75"/>
    <n v="93348.59"/>
  </r>
  <r>
    <x v="604"/>
    <x v="69"/>
    <x v="3"/>
    <s v="Gujarat"/>
    <s v="Ahmedabad"/>
    <x v="2"/>
    <s v="Notebook"/>
    <s v="Notebook"/>
    <x v="3"/>
    <x v="1"/>
    <n v="10"/>
    <n v="47566"/>
    <n v="15"/>
    <n v="404311"/>
    <n v="110809.81"/>
  </r>
  <r>
    <x v="605"/>
    <x v="146"/>
    <x v="3"/>
    <s v="Gujarat"/>
    <s v="Ahmedabad"/>
    <x v="2"/>
    <s v="Notebook"/>
    <s v="Notebook"/>
    <x v="2"/>
    <x v="1"/>
    <n v="8"/>
    <n v="25190"/>
    <n v="0"/>
    <n v="201520"/>
    <n v="48313.41"/>
  </r>
  <r>
    <x v="606"/>
    <x v="361"/>
    <x v="1"/>
    <s v="Karnataka"/>
    <s v="Bengaluru"/>
    <x v="2"/>
    <s v="Printer Paper"/>
    <s v="Printer Paper"/>
    <x v="4"/>
    <x v="1"/>
    <n v="5"/>
    <n v="27232"/>
    <n v="10"/>
    <n v="122544"/>
    <n v="16679.21"/>
  </r>
  <r>
    <x v="607"/>
    <x v="362"/>
    <x v="3"/>
    <s v="Gujarat"/>
    <s v="Ahmedabad"/>
    <x v="1"/>
    <s v="Laptop"/>
    <s v="Laptop"/>
    <x v="5"/>
    <x v="0"/>
    <n v="3"/>
    <n v="26250"/>
    <n v="0"/>
    <n v="78750"/>
    <n v="5751.97"/>
  </r>
  <r>
    <x v="608"/>
    <x v="363"/>
    <x v="3"/>
    <s v="Maharashtra"/>
    <s v="Mumbai"/>
    <x v="0"/>
    <s v="Sofa"/>
    <s v="Sofa"/>
    <x v="3"/>
    <x v="0"/>
    <n v="10"/>
    <n v="6906"/>
    <n v="5"/>
    <n v="65607"/>
    <n v="11866.76"/>
  </r>
  <r>
    <x v="609"/>
    <x v="8"/>
    <x v="2"/>
    <s v="Delhi"/>
    <s v="Delhi"/>
    <x v="0"/>
    <s v="Desk"/>
    <s v="Desk"/>
    <x v="4"/>
    <x v="0"/>
    <n v="3"/>
    <n v="5125"/>
    <n v="20"/>
    <n v="12300"/>
    <n v="2957.75"/>
  </r>
  <r>
    <x v="610"/>
    <x v="87"/>
    <x v="1"/>
    <s v="Tamil Nadu"/>
    <s v="Chennai"/>
    <x v="2"/>
    <s v="Stapler"/>
    <s v="Stapler"/>
    <x v="2"/>
    <x v="1"/>
    <n v="8"/>
    <n v="39605"/>
    <n v="15"/>
    <n v="269314"/>
    <n v="61960.11"/>
  </r>
  <r>
    <x v="611"/>
    <x v="147"/>
    <x v="3"/>
    <s v="Gujarat"/>
    <s v="Ahmedabad"/>
    <x v="0"/>
    <s v="Desk"/>
    <s v="Desk"/>
    <x v="5"/>
    <x v="0"/>
    <n v="4"/>
    <n v="5254"/>
    <n v="5"/>
    <n v="19965.2"/>
    <n v="2092.73"/>
  </r>
  <r>
    <x v="612"/>
    <x v="206"/>
    <x v="2"/>
    <s v="Delhi"/>
    <s v="Delhi"/>
    <x v="0"/>
    <s v="Desk"/>
    <s v="Desk"/>
    <x v="3"/>
    <x v="0"/>
    <n v="9"/>
    <n v="23593"/>
    <n v="0"/>
    <n v="212337"/>
    <n v="13634.21"/>
  </r>
  <r>
    <x v="613"/>
    <x v="225"/>
    <x v="2"/>
    <s v="Delhi"/>
    <s v="Delhi"/>
    <x v="2"/>
    <s v="Pen"/>
    <s v="Pen"/>
    <x v="3"/>
    <x v="1"/>
    <n v="4"/>
    <n v="4953"/>
    <n v="0"/>
    <n v="19812"/>
    <n v="2094.96"/>
  </r>
  <r>
    <x v="614"/>
    <x v="178"/>
    <x v="0"/>
    <s v="West Bengal"/>
    <s v="Kolkata"/>
    <x v="2"/>
    <s v="Printer Paper"/>
    <s v="Printer Paper"/>
    <x v="6"/>
    <x v="1"/>
    <n v="3"/>
    <n v="24461"/>
    <n v="10"/>
    <n v="66044.7"/>
    <n v="9215.66"/>
  </r>
  <r>
    <x v="615"/>
    <x v="291"/>
    <x v="1"/>
    <s v="Karnataka"/>
    <s v="Bengaluru"/>
    <x v="1"/>
    <s v="Laptop"/>
    <s v="Laptop"/>
    <x v="0"/>
    <x v="1"/>
    <n v="9"/>
    <n v="12662"/>
    <n v="20"/>
    <n v="91166.399999999994"/>
    <n v="22756.14"/>
  </r>
  <r>
    <x v="616"/>
    <x v="51"/>
    <x v="3"/>
    <s v="Gujarat"/>
    <s v="Ahmedabad"/>
    <x v="2"/>
    <s v="Stapler"/>
    <s v="Stapler"/>
    <x v="1"/>
    <x v="1"/>
    <n v="7"/>
    <n v="21771"/>
    <n v="0"/>
    <n v="152397"/>
    <n v="27048.13"/>
  </r>
  <r>
    <x v="617"/>
    <x v="67"/>
    <x v="2"/>
    <s v="Delhi"/>
    <s v="Delhi"/>
    <x v="1"/>
    <s v="Monitor"/>
    <s v="Monitor"/>
    <x v="5"/>
    <x v="1"/>
    <n v="4"/>
    <n v="4699"/>
    <n v="10"/>
    <n v="16916.400000000001"/>
    <n v="2436.17"/>
  </r>
  <r>
    <x v="618"/>
    <x v="154"/>
    <x v="1"/>
    <s v="Tamil Nadu"/>
    <s v="Chennai"/>
    <x v="0"/>
    <s v="Sofa"/>
    <s v="Sofa"/>
    <x v="0"/>
    <x v="0"/>
    <n v="9"/>
    <n v="17328"/>
    <n v="0"/>
    <n v="155952"/>
    <n v="21840.2"/>
  </r>
  <r>
    <x v="619"/>
    <x v="364"/>
    <x v="3"/>
    <s v="Gujarat"/>
    <s v="Ahmedabad"/>
    <x v="0"/>
    <s v="Sofa"/>
    <s v="Sofa"/>
    <x v="6"/>
    <x v="0"/>
    <n v="8"/>
    <n v="18484"/>
    <n v="20"/>
    <n v="118297.60000000001"/>
    <n v="18687.04"/>
  </r>
  <r>
    <x v="620"/>
    <x v="307"/>
    <x v="2"/>
    <s v="Chandigarh"/>
    <s v="Chandigarh"/>
    <x v="1"/>
    <s v="Mobile"/>
    <s v="Mobile"/>
    <x v="2"/>
    <x v="1"/>
    <n v="5"/>
    <n v="19550"/>
    <n v="20"/>
    <n v="78200"/>
    <n v="4156.37"/>
  </r>
  <r>
    <x v="621"/>
    <x v="280"/>
    <x v="0"/>
    <s v="Odisha"/>
    <s v="Bhubaneswar"/>
    <x v="0"/>
    <s v="Table"/>
    <s v="Table"/>
    <x v="4"/>
    <x v="0"/>
    <n v="2"/>
    <n v="29337"/>
    <n v="10"/>
    <n v="52806.6"/>
    <n v="14301.59"/>
  </r>
  <r>
    <x v="622"/>
    <x v="354"/>
    <x v="3"/>
    <s v="Gujarat"/>
    <s v="Ahmedabad"/>
    <x v="2"/>
    <s v="Stapler"/>
    <s v="Stapler"/>
    <x v="2"/>
    <x v="0"/>
    <n v="3"/>
    <n v="45483"/>
    <n v="10"/>
    <n v="122804.1"/>
    <n v="21476.22"/>
  </r>
  <r>
    <x v="623"/>
    <x v="365"/>
    <x v="3"/>
    <s v="Maharashtra"/>
    <s v="Mumbai"/>
    <x v="1"/>
    <s v="Keyboard"/>
    <s v="Keyboard"/>
    <x v="7"/>
    <x v="0"/>
    <n v="6"/>
    <n v="8351"/>
    <n v="20"/>
    <n v="40084.800000000003"/>
    <n v="3723.14"/>
  </r>
  <r>
    <x v="624"/>
    <x v="366"/>
    <x v="3"/>
    <s v="Gujarat"/>
    <s v="Ahmedabad"/>
    <x v="1"/>
    <s v="Keyboard"/>
    <s v="Keyboard"/>
    <x v="5"/>
    <x v="1"/>
    <n v="8"/>
    <n v="29913"/>
    <n v="10"/>
    <n v="215373.6"/>
    <n v="24150.98"/>
  </r>
  <r>
    <x v="625"/>
    <x v="367"/>
    <x v="2"/>
    <s v="Chandigarh"/>
    <s v="Chandigarh"/>
    <x v="2"/>
    <s v="Pen"/>
    <s v="Pen"/>
    <x v="3"/>
    <x v="0"/>
    <n v="9"/>
    <n v="46998"/>
    <n v="5"/>
    <n v="401832.9"/>
    <n v="23575.77"/>
  </r>
  <r>
    <x v="626"/>
    <x v="368"/>
    <x v="3"/>
    <s v="Maharashtra"/>
    <s v="Mumbai"/>
    <x v="2"/>
    <s v="Stapler"/>
    <s v="Stapler"/>
    <x v="1"/>
    <x v="0"/>
    <n v="9"/>
    <n v="33481"/>
    <n v="20"/>
    <n v="241063.2"/>
    <n v="66783.06"/>
  </r>
  <r>
    <x v="627"/>
    <x v="186"/>
    <x v="2"/>
    <s v="Chandigarh"/>
    <s v="Chandigarh"/>
    <x v="1"/>
    <s v="Mobile"/>
    <s v="Mobile"/>
    <x v="4"/>
    <x v="0"/>
    <n v="5"/>
    <n v="13876"/>
    <n v="5"/>
    <n v="65911"/>
    <n v="7065.2"/>
  </r>
  <r>
    <x v="628"/>
    <x v="321"/>
    <x v="2"/>
    <s v="Delhi"/>
    <s v="Delhi"/>
    <x v="1"/>
    <s v="Monitor"/>
    <s v="Monitor"/>
    <x v="0"/>
    <x v="1"/>
    <n v="2"/>
    <n v="7325"/>
    <n v="0"/>
    <n v="14650"/>
    <n v="3682.44"/>
  </r>
  <r>
    <x v="629"/>
    <x v="369"/>
    <x v="3"/>
    <s v="Maharashtra"/>
    <s v="Mumbai"/>
    <x v="2"/>
    <s v="Notebook"/>
    <s v="Notebook"/>
    <x v="1"/>
    <x v="0"/>
    <n v="6"/>
    <n v="5105"/>
    <n v="5"/>
    <n v="29098.5"/>
    <n v="6813.29"/>
  </r>
  <r>
    <x v="630"/>
    <x v="370"/>
    <x v="3"/>
    <s v="Gujarat"/>
    <s v="Ahmedabad"/>
    <x v="1"/>
    <s v="Keyboard"/>
    <s v="Keyboard"/>
    <x v="4"/>
    <x v="1"/>
    <n v="4"/>
    <n v="1045"/>
    <n v="5"/>
    <n v="3971"/>
    <n v="503.59"/>
  </r>
  <r>
    <x v="631"/>
    <x v="25"/>
    <x v="2"/>
    <s v="Chandigarh"/>
    <s v="Chandigarh"/>
    <x v="2"/>
    <s v="Notebook"/>
    <s v="Notebook"/>
    <x v="2"/>
    <x v="1"/>
    <n v="4"/>
    <n v="34876"/>
    <n v="20"/>
    <n v="111603.2"/>
    <n v="5711.1"/>
  </r>
  <r>
    <x v="632"/>
    <x v="371"/>
    <x v="2"/>
    <s v="Delhi"/>
    <s v="Delhi"/>
    <x v="2"/>
    <s v="Printer Paper"/>
    <s v="Printer Paper"/>
    <x v="7"/>
    <x v="0"/>
    <n v="7"/>
    <n v="30208"/>
    <n v="0"/>
    <n v="211456"/>
    <n v="33601.75"/>
  </r>
  <r>
    <x v="633"/>
    <x v="372"/>
    <x v="2"/>
    <s v="Delhi"/>
    <s v="Delhi"/>
    <x v="0"/>
    <s v="Sofa"/>
    <s v="Sofa"/>
    <x v="2"/>
    <x v="0"/>
    <n v="8"/>
    <n v="45359"/>
    <n v="15"/>
    <n v="308441.2"/>
    <n v="82774.149999999994"/>
  </r>
  <r>
    <x v="634"/>
    <x v="373"/>
    <x v="0"/>
    <s v="West Bengal"/>
    <s v="Kolkata"/>
    <x v="2"/>
    <s v="Stapler"/>
    <s v="Stapler"/>
    <x v="0"/>
    <x v="0"/>
    <n v="8"/>
    <n v="35682"/>
    <n v="15"/>
    <n v="242637.6"/>
    <n v="56950.95"/>
  </r>
  <r>
    <x v="635"/>
    <x v="238"/>
    <x v="3"/>
    <s v="Gujarat"/>
    <s v="Ahmedabad"/>
    <x v="2"/>
    <s v="Printer Paper"/>
    <s v="Printer Paper"/>
    <x v="5"/>
    <x v="0"/>
    <n v="9"/>
    <n v="39052"/>
    <n v="10"/>
    <n v="316321.2"/>
    <n v="38324.93"/>
  </r>
  <r>
    <x v="636"/>
    <x v="52"/>
    <x v="3"/>
    <s v="Gujarat"/>
    <s v="Ahmedabad"/>
    <x v="2"/>
    <s v="Pen"/>
    <s v="Pen"/>
    <x v="4"/>
    <x v="1"/>
    <n v="1"/>
    <n v="5322"/>
    <n v="0"/>
    <n v="5322"/>
    <n v="1115.58"/>
  </r>
  <r>
    <x v="637"/>
    <x v="196"/>
    <x v="1"/>
    <s v="Tamil Nadu"/>
    <s v="Chennai"/>
    <x v="0"/>
    <s v="Chair"/>
    <s v="Chair"/>
    <x v="6"/>
    <x v="0"/>
    <n v="2"/>
    <n v="31360"/>
    <n v="10"/>
    <n v="56448"/>
    <n v="5358.44"/>
  </r>
  <r>
    <x v="638"/>
    <x v="374"/>
    <x v="3"/>
    <s v="Gujarat"/>
    <s v="Ahmedabad"/>
    <x v="1"/>
    <s v="Keyboard"/>
    <s v="Keyboard"/>
    <x v="1"/>
    <x v="1"/>
    <n v="6"/>
    <n v="33360"/>
    <n v="0"/>
    <n v="200160"/>
    <n v="49200.959999999999"/>
  </r>
  <r>
    <x v="639"/>
    <x v="375"/>
    <x v="1"/>
    <s v="Karnataka"/>
    <s v="Bengaluru"/>
    <x v="2"/>
    <s v="Stapler"/>
    <s v="Stapler"/>
    <x v="3"/>
    <x v="1"/>
    <n v="2"/>
    <n v="14804"/>
    <n v="0"/>
    <n v="29608"/>
    <n v="4247.3"/>
  </r>
  <r>
    <x v="640"/>
    <x v="241"/>
    <x v="0"/>
    <s v="West Bengal"/>
    <s v="Kolkata"/>
    <x v="2"/>
    <s v="Stapler"/>
    <s v="Stapler"/>
    <x v="4"/>
    <x v="0"/>
    <n v="10"/>
    <n v="16037"/>
    <n v="15"/>
    <n v="136314.5"/>
    <n v="11769.04"/>
  </r>
  <r>
    <x v="641"/>
    <x v="157"/>
    <x v="1"/>
    <s v="Karnataka"/>
    <s v="Bengaluru"/>
    <x v="1"/>
    <s v="Laptop"/>
    <s v="Laptop"/>
    <x v="4"/>
    <x v="0"/>
    <n v="4"/>
    <n v="39632"/>
    <n v="15"/>
    <n v="134748.79999999999"/>
    <n v="7977.62"/>
  </r>
  <r>
    <x v="642"/>
    <x v="103"/>
    <x v="2"/>
    <s v="Delhi"/>
    <s v="Delhi"/>
    <x v="2"/>
    <s v="Printer Paper"/>
    <s v="Printer Paper"/>
    <x v="7"/>
    <x v="0"/>
    <n v="6"/>
    <n v="23399"/>
    <n v="5"/>
    <n v="133374.29999999999"/>
    <n v="8110.07"/>
  </r>
  <r>
    <x v="643"/>
    <x v="192"/>
    <x v="0"/>
    <s v="Odisha"/>
    <s v="Bhubaneswar"/>
    <x v="2"/>
    <s v="Pen"/>
    <s v="Pen"/>
    <x v="0"/>
    <x v="1"/>
    <n v="9"/>
    <n v="42628"/>
    <n v="20"/>
    <n v="306921.59999999998"/>
    <n v="46629.72"/>
  </r>
  <r>
    <x v="644"/>
    <x v="77"/>
    <x v="1"/>
    <s v="Tamil Nadu"/>
    <s v="Chennai"/>
    <x v="2"/>
    <s v="Printer Paper"/>
    <s v="Printer Paper"/>
    <x v="6"/>
    <x v="0"/>
    <n v="3"/>
    <n v="2961"/>
    <n v="20"/>
    <n v="7106.4"/>
    <n v="1038.04"/>
  </r>
  <r>
    <x v="645"/>
    <x v="311"/>
    <x v="3"/>
    <s v="Maharashtra"/>
    <s v="Mumbai"/>
    <x v="1"/>
    <s v="Monitor"/>
    <s v="Monitor"/>
    <x v="4"/>
    <x v="1"/>
    <n v="1"/>
    <n v="42422"/>
    <n v="15"/>
    <n v="36058.699999999997"/>
    <n v="4326.84"/>
  </r>
  <r>
    <x v="646"/>
    <x v="20"/>
    <x v="3"/>
    <s v="Gujarat"/>
    <s v="Ahmedabad"/>
    <x v="0"/>
    <s v="Table"/>
    <s v="Table"/>
    <x v="0"/>
    <x v="0"/>
    <n v="7"/>
    <n v="13822"/>
    <n v="15"/>
    <n v="82240.899999999994"/>
    <n v="10672.37"/>
  </r>
  <r>
    <x v="647"/>
    <x v="369"/>
    <x v="3"/>
    <s v="Gujarat"/>
    <s v="Ahmedabad"/>
    <x v="2"/>
    <s v="Notebook"/>
    <s v="Notebook"/>
    <x v="3"/>
    <x v="0"/>
    <n v="5"/>
    <n v="18959"/>
    <n v="0"/>
    <n v="94795"/>
    <n v="8011.29"/>
  </r>
  <r>
    <x v="648"/>
    <x v="54"/>
    <x v="1"/>
    <s v="Tamil Nadu"/>
    <s v="Chennai"/>
    <x v="2"/>
    <s v="Stapler"/>
    <s v="Stapler"/>
    <x v="1"/>
    <x v="1"/>
    <n v="1"/>
    <n v="17909"/>
    <n v="20"/>
    <n v="14327.2"/>
    <n v="2673.34"/>
  </r>
  <r>
    <x v="649"/>
    <x v="376"/>
    <x v="0"/>
    <s v="Odisha"/>
    <s v="Bhubaneswar"/>
    <x v="2"/>
    <s v="Printer Paper"/>
    <s v="Printer Paper"/>
    <x v="2"/>
    <x v="1"/>
    <n v="9"/>
    <n v="48316"/>
    <n v="0"/>
    <n v="434844"/>
    <n v="53895.56"/>
  </r>
  <r>
    <x v="650"/>
    <x v="59"/>
    <x v="0"/>
    <s v="West Bengal"/>
    <s v="Kolkata"/>
    <x v="2"/>
    <s v="Pen"/>
    <s v="Pen"/>
    <x v="3"/>
    <x v="0"/>
    <n v="6"/>
    <n v="9318"/>
    <n v="5"/>
    <n v="53112.6"/>
    <n v="4455.8"/>
  </r>
  <r>
    <x v="651"/>
    <x v="54"/>
    <x v="1"/>
    <s v="Karnataka"/>
    <s v="Bengaluru"/>
    <x v="1"/>
    <s v="Monitor"/>
    <s v="Monitor"/>
    <x v="1"/>
    <x v="1"/>
    <n v="9"/>
    <n v="7976"/>
    <n v="20"/>
    <n v="57427.199999999997"/>
    <n v="3837.99"/>
  </r>
  <r>
    <x v="652"/>
    <x v="24"/>
    <x v="2"/>
    <s v="Delhi"/>
    <s v="Delhi"/>
    <x v="2"/>
    <s v="Pen"/>
    <s v="Pen"/>
    <x v="5"/>
    <x v="1"/>
    <n v="5"/>
    <n v="45430"/>
    <n v="20"/>
    <n v="181720"/>
    <n v="34997.230000000003"/>
  </r>
  <r>
    <x v="653"/>
    <x v="94"/>
    <x v="0"/>
    <s v="West Bengal"/>
    <s v="Kolkata"/>
    <x v="1"/>
    <s v="Monitor"/>
    <s v="Monitor"/>
    <x v="6"/>
    <x v="0"/>
    <n v="4"/>
    <n v="36547"/>
    <n v="15"/>
    <n v="124259.8"/>
    <n v="28240.5"/>
  </r>
  <r>
    <x v="654"/>
    <x v="377"/>
    <x v="2"/>
    <s v="Delhi"/>
    <s v="Delhi"/>
    <x v="0"/>
    <s v="Sofa"/>
    <s v="Sofa"/>
    <x v="3"/>
    <x v="0"/>
    <n v="3"/>
    <n v="20034"/>
    <n v="5"/>
    <n v="57096.9"/>
    <n v="6391.78"/>
  </r>
  <r>
    <x v="655"/>
    <x v="17"/>
    <x v="1"/>
    <s v="Tamil Nadu"/>
    <s v="Chennai"/>
    <x v="0"/>
    <s v="Sofa"/>
    <s v="Sofa"/>
    <x v="6"/>
    <x v="1"/>
    <n v="4"/>
    <n v="4522"/>
    <n v="5"/>
    <n v="17183.599999999999"/>
    <n v="5056.8599999999997"/>
  </r>
  <r>
    <x v="656"/>
    <x v="378"/>
    <x v="1"/>
    <s v="Tamil Nadu"/>
    <s v="Chennai"/>
    <x v="2"/>
    <s v="Notebook"/>
    <s v="Notebook"/>
    <x v="6"/>
    <x v="1"/>
    <n v="6"/>
    <n v="1810"/>
    <n v="15"/>
    <n v="9231"/>
    <n v="2298.94"/>
  </r>
  <r>
    <x v="657"/>
    <x v="379"/>
    <x v="1"/>
    <s v="Tamil Nadu"/>
    <s v="Chennai"/>
    <x v="2"/>
    <s v="Pen"/>
    <s v="Pen"/>
    <x v="3"/>
    <x v="1"/>
    <n v="3"/>
    <n v="29657"/>
    <n v="20"/>
    <n v="71176.800000000003"/>
    <n v="14809.52"/>
  </r>
  <r>
    <x v="658"/>
    <x v="380"/>
    <x v="3"/>
    <s v="Gujarat"/>
    <s v="Ahmedabad"/>
    <x v="2"/>
    <s v="Printer Paper"/>
    <s v="Printer Paper"/>
    <x v="6"/>
    <x v="0"/>
    <n v="2"/>
    <n v="13691"/>
    <n v="0"/>
    <n v="27382"/>
    <n v="1986.87"/>
  </r>
  <r>
    <x v="659"/>
    <x v="152"/>
    <x v="2"/>
    <s v="Chandigarh"/>
    <s v="Chandigarh"/>
    <x v="2"/>
    <s v="Printer Paper"/>
    <s v="Printer Paper"/>
    <x v="6"/>
    <x v="0"/>
    <n v="6"/>
    <n v="10777"/>
    <n v="5"/>
    <n v="61428.9"/>
    <n v="9100.84"/>
  </r>
  <r>
    <x v="660"/>
    <x v="94"/>
    <x v="0"/>
    <s v="West Bengal"/>
    <s v="Kolkata"/>
    <x v="0"/>
    <s v="Sofa"/>
    <s v="Sofa"/>
    <x v="2"/>
    <x v="0"/>
    <n v="1"/>
    <n v="31477"/>
    <n v="20"/>
    <n v="25181.599999999999"/>
    <n v="2290.86"/>
  </r>
  <r>
    <x v="661"/>
    <x v="259"/>
    <x v="0"/>
    <s v="Odisha"/>
    <s v="Bhubaneswar"/>
    <x v="2"/>
    <s v="Pen"/>
    <s v="Pen"/>
    <x v="3"/>
    <x v="1"/>
    <n v="10"/>
    <n v="49674"/>
    <n v="0"/>
    <n v="496740"/>
    <n v="73936.39"/>
  </r>
  <r>
    <x v="662"/>
    <x v="381"/>
    <x v="0"/>
    <s v="Odisha"/>
    <s v="Bhubaneswar"/>
    <x v="1"/>
    <s v="Laptop"/>
    <s v="Laptop"/>
    <x v="5"/>
    <x v="0"/>
    <n v="10"/>
    <n v="21822"/>
    <n v="0"/>
    <n v="218220"/>
    <n v="22645.72"/>
  </r>
  <r>
    <x v="663"/>
    <x v="382"/>
    <x v="0"/>
    <s v="Odisha"/>
    <s v="Bhubaneswar"/>
    <x v="1"/>
    <s v="Laptop"/>
    <s v="Laptop"/>
    <x v="3"/>
    <x v="1"/>
    <n v="2"/>
    <n v="27325"/>
    <n v="5"/>
    <n v="51917.5"/>
    <n v="2634.06"/>
  </r>
  <r>
    <x v="664"/>
    <x v="383"/>
    <x v="3"/>
    <s v="Gujarat"/>
    <s v="Ahmedabad"/>
    <x v="0"/>
    <s v="Table"/>
    <s v="Table"/>
    <x v="6"/>
    <x v="0"/>
    <n v="2"/>
    <n v="45122"/>
    <n v="0"/>
    <n v="90244"/>
    <n v="18585.16"/>
  </r>
  <r>
    <x v="665"/>
    <x v="231"/>
    <x v="0"/>
    <s v="Odisha"/>
    <s v="Bhubaneswar"/>
    <x v="1"/>
    <s v="Keyboard"/>
    <s v="Keyboard"/>
    <x v="2"/>
    <x v="1"/>
    <n v="4"/>
    <n v="6897"/>
    <n v="5"/>
    <n v="26208.6"/>
    <n v="3183.22"/>
  </r>
  <r>
    <x v="666"/>
    <x v="53"/>
    <x v="0"/>
    <s v="West Bengal"/>
    <s v="Kolkata"/>
    <x v="1"/>
    <s v="Mobile"/>
    <s v="Mobile"/>
    <x v="5"/>
    <x v="0"/>
    <n v="10"/>
    <n v="3410"/>
    <n v="20"/>
    <n v="27280"/>
    <n v="6020.52"/>
  </r>
  <r>
    <x v="667"/>
    <x v="384"/>
    <x v="3"/>
    <s v="Gujarat"/>
    <s v="Ahmedabad"/>
    <x v="2"/>
    <s v="Printer Paper"/>
    <s v="Printer Paper"/>
    <x v="5"/>
    <x v="1"/>
    <n v="3"/>
    <n v="25893"/>
    <n v="15"/>
    <n v="66027.149999999994"/>
    <n v="7166.29"/>
  </r>
  <r>
    <x v="668"/>
    <x v="149"/>
    <x v="2"/>
    <s v="Chandigarh"/>
    <s v="Chandigarh"/>
    <x v="1"/>
    <s v="Monitor"/>
    <s v="Monitor"/>
    <x v="6"/>
    <x v="1"/>
    <n v="1"/>
    <n v="41266"/>
    <n v="0"/>
    <n v="41266"/>
    <n v="5153.24"/>
  </r>
  <r>
    <x v="669"/>
    <x v="385"/>
    <x v="2"/>
    <s v="Chandigarh"/>
    <s v="Chandigarh"/>
    <x v="1"/>
    <s v="Mobile"/>
    <s v="Mobile"/>
    <x v="0"/>
    <x v="1"/>
    <n v="6"/>
    <n v="10467"/>
    <n v="5"/>
    <n v="59661.9"/>
    <n v="15668.47"/>
  </r>
  <r>
    <x v="670"/>
    <x v="363"/>
    <x v="0"/>
    <s v="West Bengal"/>
    <s v="Kolkata"/>
    <x v="2"/>
    <s v="Printer Paper"/>
    <s v="Printer Paper"/>
    <x v="2"/>
    <x v="1"/>
    <n v="5"/>
    <n v="26004"/>
    <n v="10"/>
    <n v="117018"/>
    <n v="22942.27"/>
  </r>
  <r>
    <x v="671"/>
    <x v="69"/>
    <x v="2"/>
    <s v="Delhi"/>
    <s v="Delhi"/>
    <x v="0"/>
    <s v="Sofa"/>
    <s v="Sofa"/>
    <x v="4"/>
    <x v="1"/>
    <n v="4"/>
    <n v="31107"/>
    <n v="20"/>
    <n v="99542.399999999994"/>
    <n v="11149.4"/>
  </r>
  <r>
    <x v="672"/>
    <x v="305"/>
    <x v="1"/>
    <s v="Tamil Nadu"/>
    <s v="Chennai"/>
    <x v="2"/>
    <s v="Notebook"/>
    <s v="Notebook"/>
    <x v="1"/>
    <x v="1"/>
    <n v="9"/>
    <n v="21355"/>
    <n v="5"/>
    <n v="182585.25"/>
    <n v="12762.45"/>
  </r>
  <r>
    <x v="673"/>
    <x v="364"/>
    <x v="0"/>
    <s v="West Bengal"/>
    <s v="Kolkata"/>
    <x v="2"/>
    <s v="Stapler"/>
    <s v="Stapler"/>
    <x v="7"/>
    <x v="1"/>
    <n v="9"/>
    <n v="46597"/>
    <n v="0"/>
    <n v="419373"/>
    <n v="100343.83"/>
  </r>
  <r>
    <x v="674"/>
    <x v="208"/>
    <x v="3"/>
    <s v="Maharashtra"/>
    <s v="Mumbai"/>
    <x v="2"/>
    <s v="Pen"/>
    <s v="Pen"/>
    <x v="7"/>
    <x v="0"/>
    <n v="10"/>
    <n v="24660"/>
    <n v="20"/>
    <n v="197280"/>
    <n v="54317.35"/>
  </r>
  <r>
    <x v="675"/>
    <x v="386"/>
    <x v="3"/>
    <s v="Gujarat"/>
    <s v="Ahmedabad"/>
    <x v="0"/>
    <s v="Sofa"/>
    <s v="Sofa"/>
    <x v="2"/>
    <x v="1"/>
    <n v="1"/>
    <n v="5028"/>
    <n v="15"/>
    <n v="4273.8"/>
    <n v="1216.19"/>
  </r>
  <r>
    <x v="676"/>
    <x v="387"/>
    <x v="0"/>
    <s v="West Bengal"/>
    <s v="Kolkata"/>
    <x v="1"/>
    <s v="Keyboard"/>
    <s v="Keyboard"/>
    <x v="1"/>
    <x v="0"/>
    <n v="7"/>
    <n v="43520"/>
    <n v="0"/>
    <n v="304640"/>
    <n v="38396.639999999999"/>
  </r>
  <r>
    <x v="677"/>
    <x v="388"/>
    <x v="0"/>
    <s v="Odisha"/>
    <s v="Bhubaneswar"/>
    <x v="2"/>
    <s v="Stapler"/>
    <s v="Stapler"/>
    <x v="2"/>
    <x v="1"/>
    <n v="6"/>
    <n v="39911"/>
    <n v="10"/>
    <n v="215519.4"/>
    <n v="48163.519999999997"/>
  </r>
  <r>
    <x v="678"/>
    <x v="167"/>
    <x v="2"/>
    <s v="Chandigarh"/>
    <s v="Chandigarh"/>
    <x v="0"/>
    <s v="Chair"/>
    <s v="Chair"/>
    <x v="3"/>
    <x v="1"/>
    <n v="2"/>
    <n v="25219"/>
    <n v="0"/>
    <n v="50438"/>
    <n v="7910.02"/>
  </r>
  <r>
    <x v="679"/>
    <x v="342"/>
    <x v="0"/>
    <s v="West Bengal"/>
    <s v="Kolkata"/>
    <x v="2"/>
    <s v="Notebook"/>
    <s v="Notebook"/>
    <x v="2"/>
    <x v="0"/>
    <n v="8"/>
    <n v="27828"/>
    <n v="20"/>
    <n v="178099.20000000001"/>
    <n v="45149.91"/>
  </r>
  <r>
    <x v="680"/>
    <x v="81"/>
    <x v="3"/>
    <s v="Maharashtra"/>
    <s v="Mumbai"/>
    <x v="1"/>
    <s v="Mobile"/>
    <s v="Mobile"/>
    <x v="1"/>
    <x v="0"/>
    <n v="10"/>
    <n v="24478"/>
    <n v="0"/>
    <n v="244780"/>
    <n v="43024.92"/>
  </r>
  <r>
    <x v="681"/>
    <x v="206"/>
    <x v="2"/>
    <s v="Delhi"/>
    <s v="Delhi"/>
    <x v="1"/>
    <s v="Mobile"/>
    <s v="Mobile"/>
    <x v="0"/>
    <x v="0"/>
    <n v="8"/>
    <n v="41335"/>
    <n v="5"/>
    <n v="314146"/>
    <n v="90828.72"/>
  </r>
  <r>
    <x v="682"/>
    <x v="37"/>
    <x v="2"/>
    <s v="Delhi"/>
    <s v="Delhi"/>
    <x v="2"/>
    <s v="Stapler"/>
    <s v="Stapler"/>
    <x v="5"/>
    <x v="0"/>
    <n v="4"/>
    <n v="11061"/>
    <n v="10"/>
    <n v="39819.599999999999"/>
    <n v="5245.34"/>
  </r>
  <r>
    <x v="683"/>
    <x v="295"/>
    <x v="0"/>
    <s v="Odisha"/>
    <s v="Bhubaneswar"/>
    <x v="0"/>
    <s v="Table"/>
    <s v="Table"/>
    <x v="0"/>
    <x v="0"/>
    <n v="5"/>
    <n v="42843"/>
    <n v="15"/>
    <n v="182082.75"/>
    <n v="51626.69"/>
  </r>
  <r>
    <x v="684"/>
    <x v="311"/>
    <x v="3"/>
    <s v="Gujarat"/>
    <s v="Ahmedabad"/>
    <x v="2"/>
    <s v="Notebook"/>
    <s v="Notebook"/>
    <x v="1"/>
    <x v="0"/>
    <n v="2"/>
    <n v="46468"/>
    <n v="0"/>
    <n v="92936"/>
    <n v="5596.67"/>
  </r>
  <r>
    <x v="685"/>
    <x v="161"/>
    <x v="1"/>
    <s v="Tamil Nadu"/>
    <s v="Chennai"/>
    <x v="1"/>
    <s v="Monitor"/>
    <s v="Monitor"/>
    <x v="1"/>
    <x v="0"/>
    <n v="6"/>
    <n v="43111"/>
    <n v="0"/>
    <n v="258666"/>
    <n v="31988.02"/>
  </r>
  <r>
    <x v="686"/>
    <x v="339"/>
    <x v="1"/>
    <s v="Karnataka"/>
    <s v="Bengaluru"/>
    <x v="1"/>
    <s v="Mobile"/>
    <s v="Mobile"/>
    <x v="4"/>
    <x v="1"/>
    <n v="8"/>
    <n v="38980"/>
    <n v="10"/>
    <n v="280656"/>
    <n v="73267.55"/>
  </r>
  <r>
    <x v="687"/>
    <x v="389"/>
    <x v="3"/>
    <s v="Gujarat"/>
    <s v="Ahmedabad"/>
    <x v="1"/>
    <s v="Monitor"/>
    <s v="Monitor"/>
    <x v="1"/>
    <x v="0"/>
    <n v="9"/>
    <n v="46641"/>
    <n v="20"/>
    <n v="335815.2"/>
    <n v="26840.720000000001"/>
  </r>
  <r>
    <x v="688"/>
    <x v="390"/>
    <x v="2"/>
    <s v="Chandigarh"/>
    <s v="Chandigarh"/>
    <x v="0"/>
    <s v="Table"/>
    <s v="Table"/>
    <x v="6"/>
    <x v="0"/>
    <n v="2"/>
    <n v="9628"/>
    <n v="5"/>
    <n v="18293.2"/>
    <n v="5260.88"/>
  </r>
  <r>
    <x v="689"/>
    <x v="44"/>
    <x v="2"/>
    <s v="Chandigarh"/>
    <s v="Chandigarh"/>
    <x v="0"/>
    <s v="Chair"/>
    <s v="Chair"/>
    <x v="7"/>
    <x v="1"/>
    <n v="4"/>
    <n v="28268"/>
    <n v="10"/>
    <n v="101764.8"/>
    <n v="19237.310000000001"/>
  </r>
  <r>
    <x v="690"/>
    <x v="391"/>
    <x v="3"/>
    <s v="Maharashtra"/>
    <s v="Mumbai"/>
    <x v="0"/>
    <s v="Desk"/>
    <s v="Desk"/>
    <x v="2"/>
    <x v="1"/>
    <n v="3"/>
    <n v="41493"/>
    <n v="5"/>
    <n v="118255.05"/>
    <n v="7956.48"/>
  </r>
  <r>
    <x v="691"/>
    <x v="392"/>
    <x v="2"/>
    <s v="Chandigarh"/>
    <s v="Chandigarh"/>
    <x v="1"/>
    <s v="Monitor"/>
    <s v="Monitor"/>
    <x v="3"/>
    <x v="0"/>
    <n v="3"/>
    <n v="17642"/>
    <n v="5"/>
    <n v="50279.7"/>
    <n v="12042.46"/>
  </r>
  <r>
    <x v="692"/>
    <x v="271"/>
    <x v="0"/>
    <s v="Odisha"/>
    <s v="Bhubaneswar"/>
    <x v="0"/>
    <s v="Sofa"/>
    <s v="Sofa"/>
    <x v="0"/>
    <x v="0"/>
    <n v="5"/>
    <n v="42606"/>
    <n v="10"/>
    <n v="191727"/>
    <n v="19323.72"/>
  </r>
  <r>
    <x v="693"/>
    <x v="393"/>
    <x v="1"/>
    <s v="Tamil Nadu"/>
    <s v="Chennai"/>
    <x v="2"/>
    <s v="Notebook"/>
    <s v="Notebook"/>
    <x v="0"/>
    <x v="1"/>
    <n v="4"/>
    <n v="42483"/>
    <n v="10"/>
    <n v="152938.79999999999"/>
    <n v="28514.42"/>
  </r>
  <r>
    <x v="694"/>
    <x v="146"/>
    <x v="1"/>
    <s v="Tamil Nadu"/>
    <s v="Chennai"/>
    <x v="1"/>
    <s v="Monitor"/>
    <s v="Monitor"/>
    <x v="0"/>
    <x v="0"/>
    <n v="1"/>
    <n v="34765"/>
    <n v="15"/>
    <n v="29550.25"/>
    <n v="1854.8"/>
  </r>
  <r>
    <x v="695"/>
    <x v="44"/>
    <x v="2"/>
    <s v="Chandigarh"/>
    <s v="Chandigarh"/>
    <x v="2"/>
    <s v="Printer Paper"/>
    <s v="Printer Paper"/>
    <x v="0"/>
    <x v="1"/>
    <n v="6"/>
    <n v="24295"/>
    <n v="5"/>
    <n v="138481.5"/>
    <n v="24574.13"/>
  </r>
  <r>
    <x v="696"/>
    <x v="49"/>
    <x v="0"/>
    <s v="Odisha"/>
    <s v="Bhubaneswar"/>
    <x v="1"/>
    <s v="Monitor"/>
    <s v="Monitor"/>
    <x v="0"/>
    <x v="0"/>
    <n v="2"/>
    <n v="24432"/>
    <n v="15"/>
    <n v="41534.400000000001"/>
    <n v="7095.09"/>
  </r>
  <r>
    <x v="697"/>
    <x v="19"/>
    <x v="0"/>
    <s v="Odisha"/>
    <s v="Bhubaneswar"/>
    <x v="1"/>
    <s v="Laptop"/>
    <s v="Laptop"/>
    <x v="2"/>
    <x v="1"/>
    <n v="3"/>
    <n v="45209"/>
    <n v="5"/>
    <n v="128845.65"/>
    <n v="24962.38"/>
  </r>
  <r>
    <x v="698"/>
    <x v="52"/>
    <x v="2"/>
    <s v="Delhi"/>
    <s v="Delhi"/>
    <x v="2"/>
    <s v="Pen"/>
    <s v="Pen"/>
    <x v="0"/>
    <x v="1"/>
    <n v="9"/>
    <n v="19864"/>
    <n v="10"/>
    <n v="160898.4"/>
    <n v="30947.59"/>
  </r>
  <r>
    <x v="699"/>
    <x v="28"/>
    <x v="0"/>
    <s v="West Bengal"/>
    <s v="Kolkata"/>
    <x v="2"/>
    <s v="Stapler"/>
    <s v="Stapler"/>
    <x v="3"/>
    <x v="0"/>
    <n v="3"/>
    <n v="22231"/>
    <n v="0"/>
    <n v="66693"/>
    <n v="8923.8799999999992"/>
  </r>
  <r>
    <x v="700"/>
    <x v="129"/>
    <x v="1"/>
    <s v="Karnataka"/>
    <s v="Bengaluru"/>
    <x v="0"/>
    <s v="Sofa"/>
    <s v="Sofa"/>
    <x v="4"/>
    <x v="0"/>
    <n v="10"/>
    <n v="28250"/>
    <n v="15"/>
    <n v="240125"/>
    <n v="52536.7"/>
  </r>
  <r>
    <x v="701"/>
    <x v="108"/>
    <x v="2"/>
    <s v="Chandigarh"/>
    <s v="Chandigarh"/>
    <x v="2"/>
    <s v="Printer Paper"/>
    <s v="Printer Paper"/>
    <x v="6"/>
    <x v="0"/>
    <n v="5"/>
    <n v="1193"/>
    <n v="5"/>
    <n v="5666.75"/>
    <n v="982.75"/>
  </r>
  <r>
    <x v="702"/>
    <x v="209"/>
    <x v="2"/>
    <s v="Chandigarh"/>
    <s v="Chandigarh"/>
    <x v="0"/>
    <s v="Sofa"/>
    <s v="Sofa"/>
    <x v="2"/>
    <x v="1"/>
    <n v="6"/>
    <n v="22455"/>
    <n v="15"/>
    <n v="114520.5"/>
    <n v="28584.27"/>
  </r>
  <r>
    <x v="703"/>
    <x v="311"/>
    <x v="2"/>
    <s v="Delhi"/>
    <s v="Delhi"/>
    <x v="1"/>
    <s v="Mobile"/>
    <s v="Mobile"/>
    <x v="7"/>
    <x v="1"/>
    <n v="3"/>
    <n v="4918"/>
    <n v="10"/>
    <n v="13278.6"/>
    <n v="3277.29"/>
  </r>
  <r>
    <x v="704"/>
    <x v="394"/>
    <x v="1"/>
    <s v="Karnataka"/>
    <s v="Bengaluru"/>
    <x v="1"/>
    <s v="Keyboard"/>
    <s v="Keyboard"/>
    <x v="1"/>
    <x v="1"/>
    <n v="5"/>
    <n v="30138"/>
    <n v="10"/>
    <n v="135621"/>
    <n v="30985.22"/>
  </r>
  <r>
    <x v="705"/>
    <x v="11"/>
    <x v="0"/>
    <s v="West Bengal"/>
    <s v="Kolkata"/>
    <x v="2"/>
    <s v="Pen"/>
    <s v="Pen"/>
    <x v="2"/>
    <x v="0"/>
    <n v="1"/>
    <n v="40995"/>
    <n v="20"/>
    <n v="32796"/>
    <n v="8952.9500000000007"/>
  </r>
  <r>
    <x v="706"/>
    <x v="395"/>
    <x v="1"/>
    <s v="Karnataka"/>
    <s v="Bengaluru"/>
    <x v="2"/>
    <s v="Printer Paper"/>
    <s v="Printer Paper"/>
    <x v="1"/>
    <x v="0"/>
    <n v="1"/>
    <n v="695"/>
    <n v="0"/>
    <n v="695"/>
    <n v="74.66"/>
  </r>
  <r>
    <x v="707"/>
    <x v="23"/>
    <x v="2"/>
    <s v="Delhi"/>
    <s v="Delhi"/>
    <x v="1"/>
    <s v="Mobile"/>
    <s v="Mobile"/>
    <x v="1"/>
    <x v="0"/>
    <n v="5"/>
    <n v="35923"/>
    <n v="15"/>
    <n v="152672.75"/>
    <n v="35304.19"/>
  </r>
  <r>
    <x v="708"/>
    <x v="255"/>
    <x v="2"/>
    <s v="Chandigarh"/>
    <s v="Chandigarh"/>
    <x v="2"/>
    <s v="Stapler"/>
    <s v="Stapler"/>
    <x v="6"/>
    <x v="1"/>
    <n v="3"/>
    <n v="24369"/>
    <n v="10"/>
    <n v="65796.3"/>
    <n v="3677.89"/>
  </r>
  <r>
    <x v="709"/>
    <x v="255"/>
    <x v="0"/>
    <s v="West Bengal"/>
    <s v="Kolkata"/>
    <x v="2"/>
    <s v="Notebook"/>
    <s v="Notebook"/>
    <x v="3"/>
    <x v="1"/>
    <n v="9"/>
    <n v="46190"/>
    <n v="15"/>
    <n v="353353.5"/>
    <n v="33871.35"/>
  </r>
  <r>
    <x v="710"/>
    <x v="252"/>
    <x v="0"/>
    <s v="Odisha"/>
    <s v="Bhubaneswar"/>
    <x v="0"/>
    <s v="Sofa"/>
    <s v="Sofa"/>
    <x v="3"/>
    <x v="0"/>
    <n v="3"/>
    <n v="31801"/>
    <n v="20"/>
    <n v="76322.399999999994"/>
    <n v="18227.259999999998"/>
  </r>
  <r>
    <x v="711"/>
    <x v="387"/>
    <x v="1"/>
    <s v="Tamil Nadu"/>
    <s v="Chennai"/>
    <x v="0"/>
    <s v="Sofa"/>
    <s v="Sofa"/>
    <x v="4"/>
    <x v="0"/>
    <n v="8"/>
    <n v="7208"/>
    <n v="20"/>
    <n v="46131.199999999997"/>
    <n v="9614.98"/>
  </r>
  <r>
    <x v="712"/>
    <x v="50"/>
    <x v="3"/>
    <s v="Maharashtra"/>
    <s v="Mumbai"/>
    <x v="2"/>
    <s v="Printer Paper"/>
    <s v="Printer Paper"/>
    <x v="7"/>
    <x v="0"/>
    <n v="6"/>
    <n v="16936"/>
    <n v="15"/>
    <n v="86373.6"/>
    <n v="24099.439999999999"/>
  </r>
  <r>
    <x v="713"/>
    <x v="265"/>
    <x v="2"/>
    <s v="Chandigarh"/>
    <s v="Chandigarh"/>
    <x v="2"/>
    <s v="Notebook"/>
    <s v="Notebook"/>
    <x v="7"/>
    <x v="0"/>
    <n v="6"/>
    <n v="39642"/>
    <n v="10"/>
    <n v="214066.8"/>
    <n v="25885.35"/>
  </r>
  <r>
    <x v="714"/>
    <x v="307"/>
    <x v="2"/>
    <s v="Delhi"/>
    <s v="Delhi"/>
    <x v="1"/>
    <s v="Keyboard"/>
    <s v="Keyboard"/>
    <x v="6"/>
    <x v="0"/>
    <n v="7"/>
    <n v="38499"/>
    <n v="0"/>
    <n v="269493"/>
    <n v="46512.63"/>
  </r>
  <r>
    <x v="715"/>
    <x v="367"/>
    <x v="1"/>
    <s v="Karnataka"/>
    <s v="Bengaluru"/>
    <x v="2"/>
    <s v="Pen"/>
    <s v="Pen"/>
    <x v="4"/>
    <x v="1"/>
    <n v="2"/>
    <n v="37264"/>
    <n v="10"/>
    <n v="67075.199999999997"/>
    <n v="6347.08"/>
  </r>
  <r>
    <x v="716"/>
    <x v="396"/>
    <x v="2"/>
    <s v="Delhi"/>
    <s v="Delhi"/>
    <x v="2"/>
    <s v="Pen"/>
    <s v="Pen"/>
    <x v="1"/>
    <x v="0"/>
    <n v="9"/>
    <n v="6488"/>
    <n v="5"/>
    <n v="55472.4"/>
    <n v="13690.81"/>
  </r>
  <r>
    <x v="717"/>
    <x v="320"/>
    <x v="2"/>
    <s v="Delhi"/>
    <s v="Delhi"/>
    <x v="0"/>
    <s v="Chair"/>
    <s v="Chair"/>
    <x v="2"/>
    <x v="1"/>
    <n v="4"/>
    <n v="8369"/>
    <n v="20"/>
    <n v="26780.799999999999"/>
    <n v="2838.7"/>
  </r>
  <r>
    <x v="718"/>
    <x v="397"/>
    <x v="2"/>
    <s v="Delhi"/>
    <s v="Delhi"/>
    <x v="0"/>
    <s v="Table"/>
    <s v="Table"/>
    <x v="4"/>
    <x v="1"/>
    <n v="4"/>
    <n v="9305"/>
    <n v="0"/>
    <n v="37220"/>
    <n v="7459.46"/>
  </r>
  <r>
    <x v="719"/>
    <x v="398"/>
    <x v="1"/>
    <s v="Karnataka"/>
    <s v="Bengaluru"/>
    <x v="1"/>
    <s v="Mobile"/>
    <s v="Mobile"/>
    <x v="7"/>
    <x v="0"/>
    <n v="2"/>
    <n v="23525"/>
    <n v="10"/>
    <n v="42345"/>
    <n v="3280.61"/>
  </r>
  <r>
    <x v="720"/>
    <x v="319"/>
    <x v="3"/>
    <s v="Maharashtra"/>
    <s v="Mumbai"/>
    <x v="2"/>
    <s v="Printer Paper"/>
    <s v="Printer Paper"/>
    <x v="6"/>
    <x v="0"/>
    <n v="7"/>
    <n v="34367"/>
    <n v="20"/>
    <n v="192455.2"/>
    <n v="34875.78"/>
  </r>
  <r>
    <x v="721"/>
    <x v="28"/>
    <x v="2"/>
    <s v="Delhi"/>
    <s v="Delhi"/>
    <x v="1"/>
    <s v="Monitor"/>
    <s v="Monitor"/>
    <x v="3"/>
    <x v="0"/>
    <n v="9"/>
    <n v="1945"/>
    <n v="0"/>
    <n v="17505"/>
    <n v="5102.62"/>
  </r>
  <r>
    <x v="722"/>
    <x v="251"/>
    <x v="2"/>
    <s v="Delhi"/>
    <s v="Delhi"/>
    <x v="2"/>
    <s v="Printer Paper"/>
    <s v="Printer Paper"/>
    <x v="4"/>
    <x v="1"/>
    <n v="3"/>
    <n v="7896"/>
    <n v="10"/>
    <n v="21319.200000000001"/>
    <n v="3490.37"/>
  </r>
  <r>
    <x v="723"/>
    <x v="363"/>
    <x v="1"/>
    <s v="Karnataka"/>
    <s v="Bengaluru"/>
    <x v="1"/>
    <s v="Monitor"/>
    <s v="Monitor"/>
    <x v="1"/>
    <x v="0"/>
    <n v="10"/>
    <n v="48467"/>
    <n v="15"/>
    <n v="411969.5"/>
    <n v="109330.66"/>
  </r>
  <r>
    <x v="724"/>
    <x v="141"/>
    <x v="3"/>
    <s v="Gujarat"/>
    <s v="Ahmedabad"/>
    <x v="0"/>
    <s v="Chair"/>
    <s v="Chair"/>
    <x v="5"/>
    <x v="0"/>
    <n v="8"/>
    <n v="31357"/>
    <n v="5"/>
    <n v="238313.2"/>
    <n v="42090.05"/>
  </r>
  <r>
    <x v="725"/>
    <x v="399"/>
    <x v="0"/>
    <s v="Odisha"/>
    <s v="Bhubaneswar"/>
    <x v="0"/>
    <s v="Sofa"/>
    <s v="Sofa"/>
    <x v="6"/>
    <x v="1"/>
    <n v="2"/>
    <n v="10280"/>
    <n v="5"/>
    <n v="19532"/>
    <n v="4703.9399999999996"/>
  </r>
  <r>
    <x v="726"/>
    <x v="176"/>
    <x v="0"/>
    <s v="Odisha"/>
    <s v="Bhubaneswar"/>
    <x v="0"/>
    <s v="Desk"/>
    <s v="Desk"/>
    <x v="2"/>
    <x v="0"/>
    <n v="7"/>
    <n v="37367"/>
    <n v="15"/>
    <n v="222333.65"/>
    <n v="31978.55"/>
  </r>
  <r>
    <x v="727"/>
    <x v="17"/>
    <x v="1"/>
    <s v="Karnataka"/>
    <s v="Bengaluru"/>
    <x v="1"/>
    <s v="Keyboard"/>
    <s v="Keyboard"/>
    <x v="3"/>
    <x v="1"/>
    <n v="8"/>
    <n v="21909"/>
    <n v="10"/>
    <n v="157744.79999999999"/>
    <n v="35716.879999999997"/>
  </r>
  <r>
    <x v="728"/>
    <x v="261"/>
    <x v="0"/>
    <s v="West Bengal"/>
    <s v="Kolkata"/>
    <x v="2"/>
    <s v="Pen"/>
    <s v="Pen"/>
    <x v="2"/>
    <x v="1"/>
    <n v="6"/>
    <n v="909"/>
    <n v="5"/>
    <n v="5181.3"/>
    <n v="762.19"/>
  </r>
  <r>
    <x v="729"/>
    <x v="128"/>
    <x v="3"/>
    <s v="Gujarat"/>
    <s v="Ahmedabad"/>
    <x v="0"/>
    <s v="Chair"/>
    <s v="Chair"/>
    <x v="0"/>
    <x v="1"/>
    <n v="3"/>
    <n v="42374"/>
    <n v="0"/>
    <n v="127122"/>
    <n v="27590.31"/>
  </r>
  <r>
    <x v="730"/>
    <x v="208"/>
    <x v="0"/>
    <s v="Odisha"/>
    <s v="Bhubaneswar"/>
    <x v="2"/>
    <s v="Notebook"/>
    <s v="Notebook"/>
    <x v="1"/>
    <x v="1"/>
    <n v="2"/>
    <n v="46128"/>
    <n v="20"/>
    <n v="73804.800000000003"/>
    <n v="8404.99"/>
  </r>
  <r>
    <x v="731"/>
    <x v="180"/>
    <x v="1"/>
    <s v="Tamil Nadu"/>
    <s v="Chennai"/>
    <x v="1"/>
    <s v="Mobile"/>
    <s v="Mobile"/>
    <x v="3"/>
    <x v="1"/>
    <n v="7"/>
    <n v="44320"/>
    <n v="15"/>
    <n v="263704"/>
    <n v="62733.78"/>
  </r>
  <r>
    <x v="732"/>
    <x v="400"/>
    <x v="3"/>
    <s v="Gujarat"/>
    <s v="Ahmedabad"/>
    <x v="1"/>
    <s v="Laptop"/>
    <s v="Laptop"/>
    <x v="2"/>
    <x v="1"/>
    <n v="1"/>
    <n v="29327"/>
    <n v="10"/>
    <n v="26394.3"/>
    <n v="2444.38"/>
  </r>
  <r>
    <x v="733"/>
    <x v="88"/>
    <x v="3"/>
    <s v="Gujarat"/>
    <s v="Ahmedabad"/>
    <x v="0"/>
    <s v="Table"/>
    <s v="Table"/>
    <x v="5"/>
    <x v="1"/>
    <n v="1"/>
    <n v="13109"/>
    <n v="0"/>
    <n v="13109"/>
    <n v="3879.37"/>
  </r>
  <r>
    <x v="734"/>
    <x v="401"/>
    <x v="3"/>
    <s v="Maharashtra"/>
    <s v="Mumbai"/>
    <x v="1"/>
    <s v="Keyboard"/>
    <s v="Keyboard"/>
    <x v="5"/>
    <x v="0"/>
    <n v="6"/>
    <n v="3296"/>
    <n v="10"/>
    <n v="17798.400000000001"/>
    <n v="2090.39"/>
  </r>
  <r>
    <x v="735"/>
    <x v="223"/>
    <x v="2"/>
    <s v="Delhi"/>
    <s v="Delhi"/>
    <x v="0"/>
    <s v="Sofa"/>
    <s v="Sofa"/>
    <x v="3"/>
    <x v="0"/>
    <n v="7"/>
    <n v="17474"/>
    <n v="0"/>
    <n v="122318"/>
    <n v="23700.97"/>
  </r>
  <r>
    <x v="736"/>
    <x v="303"/>
    <x v="2"/>
    <s v="Delhi"/>
    <s v="Delhi"/>
    <x v="0"/>
    <s v="Sofa"/>
    <s v="Sofa"/>
    <x v="5"/>
    <x v="0"/>
    <n v="10"/>
    <n v="39346"/>
    <n v="10"/>
    <n v="354114"/>
    <n v="104402.09"/>
  </r>
  <r>
    <x v="737"/>
    <x v="402"/>
    <x v="0"/>
    <s v="West Bengal"/>
    <s v="Kolkata"/>
    <x v="2"/>
    <s v="Pen"/>
    <s v="Pen"/>
    <x v="2"/>
    <x v="1"/>
    <n v="5"/>
    <n v="24373"/>
    <n v="5"/>
    <n v="115771.75"/>
    <n v="25420.42"/>
  </r>
  <r>
    <x v="738"/>
    <x v="403"/>
    <x v="2"/>
    <s v="Chandigarh"/>
    <s v="Chandigarh"/>
    <x v="2"/>
    <s v="Printer Paper"/>
    <s v="Printer Paper"/>
    <x v="7"/>
    <x v="1"/>
    <n v="8"/>
    <n v="23192"/>
    <n v="20"/>
    <n v="148428.79999999999"/>
    <n v="16926.669999999998"/>
  </r>
  <r>
    <x v="739"/>
    <x v="78"/>
    <x v="2"/>
    <s v="Delhi"/>
    <s v="Delhi"/>
    <x v="0"/>
    <s v="Chair"/>
    <s v="Chair"/>
    <x v="0"/>
    <x v="0"/>
    <n v="7"/>
    <n v="32178"/>
    <n v="5"/>
    <n v="213983.7"/>
    <n v="53023.32"/>
  </r>
  <r>
    <x v="740"/>
    <x v="404"/>
    <x v="0"/>
    <s v="Odisha"/>
    <s v="Bhubaneswar"/>
    <x v="0"/>
    <s v="Desk"/>
    <s v="Desk"/>
    <x v="4"/>
    <x v="1"/>
    <n v="8"/>
    <n v="42155"/>
    <n v="0"/>
    <n v="337240"/>
    <n v="44129.74"/>
  </r>
  <r>
    <x v="741"/>
    <x v="377"/>
    <x v="2"/>
    <s v="Chandigarh"/>
    <s v="Chandigarh"/>
    <x v="0"/>
    <s v="Chair"/>
    <s v="Chair"/>
    <x v="5"/>
    <x v="1"/>
    <n v="6"/>
    <n v="2598"/>
    <n v="20"/>
    <n v="12470.4"/>
    <n v="2038.31"/>
  </r>
  <r>
    <x v="742"/>
    <x v="31"/>
    <x v="3"/>
    <s v="Gujarat"/>
    <s v="Ahmedabad"/>
    <x v="2"/>
    <s v="Stapler"/>
    <s v="Stapler"/>
    <x v="5"/>
    <x v="0"/>
    <n v="2"/>
    <n v="13777"/>
    <n v="20"/>
    <n v="22043.200000000001"/>
    <n v="1748.02"/>
  </r>
  <r>
    <x v="743"/>
    <x v="229"/>
    <x v="1"/>
    <s v="Karnataka"/>
    <s v="Bengaluru"/>
    <x v="0"/>
    <s v="Table"/>
    <s v="Table"/>
    <x v="5"/>
    <x v="0"/>
    <n v="3"/>
    <n v="12064"/>
    <n v="10"/>
    <n v="32572.799999999999"/>
    <n v="5202.8100000000004"/>
  </r>
  <r>
    <x v="744"/>
    <x v="204"/>
    <x v="3"/>
    <s v="Gujarat"/>
    <s v="Ahmedabad"/>
    <x v="2"/>
    <s v="Printer Paper"/>
    <s v="Printer Paper"/>
    <x v="3"/>
    <x v="1"/>
    <n v="10"/>
    <n v="34667"/>
    <n v="0"/>
    <n v="346670"/>
    <n v="95998.96"/>
  </r>
  <r>
    <x v="745"/>
    <x v="405"/>
    <x v="2"/>
    <s v="Chandigarh"/>
    <s v="Chandigarh"/>
    <x v="2"/>
    <s v="Printer Paper"/>
    <s v="Printer Paper"/>
    <x v="4"/>
    <x v="0"/>
    <n v="3"/>
    <n v="8508"/>
    <n v="5"/>
    <n v="24247.8"/>
    <n v="3522.59"/>
  </r>
  <r>
    <x v="746"/>
    <x v="406"/>
    <x v="0"/>
    <s v="Odisha"/>
    <s v="Bhubaneswar"/>
    <x v="0"/>
    <s v="Desk"/>
    <s v="Desk"/>
    <x v="4"/>
    <x v="0"/>
    <n v="10"/>
    <n v="27454"/>
    <n v="5"/>
    <n v="260813"/>
    <n v="73328.62"/>
  </r>
  <r>
    <x v="747"/>
    <x v="359"/>
    <x v="1"/>
    <s v="Karnataka"/>
    <s v="Bengaluru"/>
    <x v="2"/>
    <s v="Notebook"/>
    <s v="Notebook"/>
    <x v="4"/>
    <x v="0"/>
    <n v="8"/>
    <n v="36606"/>
    <n v="0"/>
    <n v="292848"/>
    <n v="39072.870000000003"/>
  </r>
  <r>
    <x v="748"/>
    <x v="239"/>
    <x v="3"/>
    <s v="Maharashtra"/>
    <s v="Mumbai"/>
    <x v="1"/>
    <s v="Monitor"/>
    <s v="Monitor"/>
    <x v="0"/>
    <x v="1"/>
    <n v="2"/>
    <n v="493"/>
    <n v="20"/>
    <n v="788.8"/>
    <n v="95.37"/>
  </r>
  <r>
    <x v="749"/>
    <x v="287"/>
    <x v="3"/>
    <s v="Maharashtra"/>
    <s v="Mumbai"/>
    <x v="1"/>
    <s v="Monitor"/>
    <s v="Monitor"/>
    <x v="6"/>
    <x v="1"/>
    <n v="10"/>
    <n v="43253"/>
    <n v="10"/>
    <n v="389277"/>
    <n v="84145.41"/>
  </r>
  <r>
    <x v="750"/>
    <x v="206"/>
    <x v="1"/>
    <s v="Tamil Nadu"/>
    <s v="Chennai"/>
    <x v="1"/>
    <s v="Keyboard"/>
    <s v="Keyboard"/>
    <x v="7"/>
    <x v="0"/>
    <n v="5"/>
    <n v="21395"/>
    <n v="10"/>
    <n v="96277.5"/>
    <n v="17034.419999999998"/>
  </r>
  <r>
    <x v="751"/>
    <x v="407"/>
    <x v="3"/>
    <s v="Maharashtra"/>
    <s v="Mumbai"/>
    <x v="0"/>
    <s v="Chair"/>
    <s v="Chair"/>
    <x v="4"/>
    <x v="0"/>
    <n v="7"/>
    <n v="35526"/>
    <n v="10"/>
    <n v="223813.8"/>
    <n v="13280.53"/>
  </r>
  <r>
    <x v="752"/>
    <x v="182"/>
    <x v="3"/>
    <s v="Maharashtra"/>
    <s v="Mumbai"/>
    <x v="0"/>
    <s v="Desk"/>
    <s v="Desk"/>
    <x v="7"/>
    <x v="0"/>
    <n v="10"/>
    <n v="10428"/>
    <n v="5"/>
    <n v="99066"/>
    <n v="11873.36"/>
  </r>
  <r>
    <x v="753"/>
    <x v="351"/>
    <x v="1"/>
    <s v="Tamil Nadu"/>
    <s v="Chennai"/>
    <x v="0"/>
    <s v="Chair"/>
    <s v="Chair"/>
    <x v="6"/>
    <x v="0"/>
    <n v="3"/>
    <n v="34782"/>
    <n v="10"/>
    <n v="93911.4"/>
    <n v="20551.009999999998"/>
  </r>
  <r>
    <x v="754"/>
    <x v="352"/>
    <x v="3"/>
    <s v="Maharashtra"/>
    <s v="Mumbai"/>
    <x v="2"/>
    <s v="Stapler"/>
    <s v="Stapler"/>
    <x v="0"/>
    <x v="1"/>
    <n v="5"/>
    <n v="2069"/>
    <n v="5"/>
    <n v="9827.75"/>
    <n v="1225.93"/>
  </r>
  <r>
    <x v="755"/>
    <x v="408"/>
    <x v="3"/>
    <s v="Gujarat"/>
    <s v="Ahmedabad"/>
    <x v="1"/>
    <s v="Monitor"/>
    <s v="Monitor"/>
    <x v="7"/>
    <x v="0"/>
    <n v="10"/>
    <n v="28388"/>
    <n v="5"/>
    <n v="269686"/>
    <n v="57303.040000000001"/>
  </r>
  <r>
    <x v="756"/>
    <x v="409"/>
    <x v="3"/>
    <s v="Gujarat"/>
    <s v="Ahmedabad"/>
    <x v="0"/>
    <s v="Chair"/>
    <s v="Chair"/>
    <x v="6"/>
    <x v="0"/>
    <n v="9"/>
    <n v="1262"/>
    <n v="10"/>
    <n v="10222.200000000001"/>
    <n v="1109.3599999999999"/>
  </r>
  <r>
    <x v="757"/>
    <x v="259"/>
    <x v="2"/>
    <s v="Chandigarh"/>
    <s v="Chandigarh"/>
    <x v="2"/>
    <s v="Stapler"/>
    <s v="Stapler"/>
    <x v="3"/>
    <x v="1"/>
    <n v="7"/>
    <n v="24577"/>
    <n v="10"/>
    <n v="154835.1"/>
    <n v="19325.43"/>
  </r>
  <r>
    <x v="758"/>
    <x v="410"/>
    <x v="0"/>
    <s v="Odisha"/>
    <s v="Bhubaneswar"/>
    <x v="2"/>
    <s v="Printer Paper"/>
    <s v="Printer Paper"/>
    <x v="6"/>
    <x v="0"/>
    <n v="6"/>
    <n v="29971"/>
    <n v="5"/>
    <n v="170834.7"/>
    <n v="31581.42"/>
  </r>
  <r>
    <x v="759"/>
    <x v="411"/>
    <x v="0"/>
    <s v="West Bengal"/>
    <s v="Kolkata"/>
    <x v="2"/>
    <s v="Notebook"/>
    <s v="Notebook"/>
    <x v="2"/>
    <x v="1"/>
    <n v="9"/>
    <n v="23302"/>
    <n v="15"/>
    <n v="178260.3"/>
    <n v="48128.51"/>
  </r>
  <r>
    <x v="760"/>
    <x v="184"/>
    <x v="0"/>
    <s v="Odisha"/>
    <s v="Bhubaneswar"/>
    <x v="0"/>
    <s v="Desk"/>
    <s v="Desk"/>
    <x v="3"/>
    <x v="0"/>
    <n v="5"/>
    <n v="47084"/>
    <n v="0"/>
    <n v="235420"/>
    <n v="43761.9"/>
  </r>
  <r>
    <x v="761"/>
    <x v="412"/>
    <x v="3"/>
    <s v="Maharashtra"/>
    <s v="Mumbai"/>
    <x v="2"/>
    <s v="Printer Paper"/>
    <s v="Printer Paper"/>
    <x v="1"/>
    <x v="1"/>
    <n v="1"/>
    <n v="32872"/>
    <n v="20"/>
    <n v="26297.599999999999"/>
    <n v="4527.13"/>
  </r>
  <r>
    <x v="762"/>
    <x v="377"/>
    <x v="1"/>
    <s v="Tamil Nadu"/>
    <s v="Chennai"/>
    <x v="1"/>
    <s v="Monitor"/>
    <s v="Monitor"/>
    <x v="0"/>
    <x v="1"/>
    <n v="3"/>
    <n v="6990"/>
    <n v="5"/>
    <n v="19921.5"/>
    <n v="2607.23"/>
  </r>
  <r>
    <x v="763"/>
    <x v="153"/>
    <x v="2"/>
    <s v="Delhi"/>
    <s v="Delhi"/>
    <x v="1"/>
    <s v="Monitor"/>
    <s v="Monitor"/>
    <x v="2"/>
    <x v="0"/>
    <n v="3"/>
    <n v="49869"/>
    <n v="10"/>
    <n v="134646.29999999999"/>
    <n v="20536.62"/>
  </r>
  <r>
    <x v="764"/>
    <x v="137"/>
    <x v="2"/>
    <s v="Chandigarh"/>
    <s v="Chandigarh"/>
    <x v="2"/>
    <s v="Notebook"/>
    <s v="Notebook"/>
    <x v="4"/>
    <x v="0"/>
    <n v="2"/>
    <n v="8755"/>
    <n v="0"/>
    <n v="17510"/>
    <n v="2906.51"/>
  </r>
  <r>
    <x v="765"/>
    <x v="247"/>
    <x v="0"/>
    <s v="West Bengal"/>
    <s v="Kolkata"/>
    <x v="1"/>
    <s v="Laptop"/>
    <s v="Laptop"/>
    <x v="7"/>
    <x v="1"/>
    <n v="3"/>
    <n v="48334"/>
    <n v="15"/>
    <n v="123251.7"/>
    <n v="9045.59"/>
  </r>
  <r>
    <x v="766"/>
    <x v="413"/>
    <x v="0"/>
    <s v="West Bengal"/>
    <s v="Kolkata"/>
    <x v="2"/>
    <s v="Printer Paper"/>
    <s v="Printer Paper"/>
    <x v="1"/>
    <x v="1"/>
    <n v="2"/>
    <n v="1838"/>
    <n v="10"/>
    <n v="3308.4"/>
    <n v="741.35"/>
  </r>
  <r>
    <x v="767"/>
    <x v="303"/>
    <x v="2"/>
    <s v="Chandigarh"/>
    <s v="Chandigarh"/>
    <x v="0"/>
    <s v="Sofa"/>
    <s v="Sofa"/>
    <x v="1"/>
    <x v="1"/>
    <n v="4"/>
    <n v="11213"/>
    <n v="10"/>
    <n v="40366.800000000003"/>
    <n v="4173.9399999999996"/>
  </r>
  <r>
    <x v="768"/>
    <x v="42"/>
    <x v="3"/>
    <s v="Maharashtra"/>
    <s v="Mumbai"/>
    <x v="0"/>
    <s v="Desk"/>
    <s v="Desk"/>
    <x v="2"/>
    <x v="0"/>
    <n v="6"/>
    <n v="14058"/>
    <n v="0"/>
    <n v="84348"/>
    <n v="7670.02"/>
  </r>
  <r>
    <x v="769"/>
    <x v="343"/>
    <x v="3"/>
    <s v="Gujarat"/>
    <s v="Ahmedabad"/>
    <x v="0"/>
    <s v="Chair"/>
    <s v="Chair"/>
    <x v="5"/>
    <x v="1"/>
    <n v="1"/>
    <n v="11703"/>
    <n v="10"/>
    <n v="10532.7"/>
    <n v="1279.3599999999999"/>
  </r>
  <r>
    <x v="770"/>
    <x v="56"/>
    <x v="0"/>
    <s v="Odisha"/>
    <s v="Bhubaneswar"/>
    <x v="0"/>
    <s v="Sofa"/>
    <s v="Sofa"/>
    <x v="1"/>
    <x v="1"/>
    <n v="4"/>
    <n v="7364"/>
    <n v="0"/>
    <n v="29456"/>
    <n v="8695.1"/>
  </r>
  <r>
    <x v="771"/>
    <x v="410"/>
    <x v="1"/>
    <s v="Karnataka"/>
    <s v="Bengaluru"/>
    <x v="0"/>
    <s v="Chair"/>
    <s v="Chair"/>
    <x v="7"/>
    <x v="0"/>
    <n v="3"/>
    <n v="25156"/>
    <n v="5"/>
    <n v="71694.600000000006"/>
    <n v="16734.97"/>
  </r>
  <r>
    <x v="772"/>
    <x v="414"/>
    <x v="1"/>
    <s v="Karnataka"/>
    <s v="Bengaluru"/>
    <x v="1"/>
    <s v="Keyboard"/>
    <s v="Keyboard"/>
    <x v="3"/>
    <x v="1"/>
    <n v="9"/>
    <n v="36536"/>
    <n v="0"/>
    <n v="328824"/>
    <n v="25213.7"/>
  </r>
  <r>
    <x v="773"/>
    <x v="188"/>
    <x v="0"/>
    <s v="Odisha"/>
    <s v="Bhubaneswar"/>
    <x v="1"/>
    <s v="Mobile"/>
    <s v="Mobile"/>
    <x v="5"/>
    <x v="1"/>
    <n v="5"/>
    <n v="46233"/>
    <n v="10"/>
    <n v="208048.5"/>
    <n v="26656.49"/>
  </r>
  <r>
    <x v="774"/>
    <x v="37"/>
    <x v="0"/>
    <s v="West Bengal"/>
    <s v="Kolkata"/>
    <x v="1"/>
    <s v="Mobile"/>
    <s v="Mobile"/>
    <x v="4"/>
    <x v="0"/>
    <n v="5"/>
    <n v="33120"/>
    <n v="20"/>
    <n v="132480"/>
    <n v="29593.86"/>
  </r>
  <r>
    <x v="775"/>
    <x v="107"/>
    <x v="0"/>
    <s v="West Bengal"/>
    <s v="Kolkata"/>
    <x v="0"/>
    <s v="Desk"/>
    <s v="Desk"/>
    <x v="7"/>
    <x v="1"/>
    <n v="5"/>
    <n v="37617"/>
    <n v="0"/>
    <n v="188085"/>
    <n v="39439.35"/>
  </r>
  <r>
    <x v="776"/>
    <x v="415"/>
    <x v="0"/>
    <s v="Odisha"/>
    <s v="Bhubaneswar"/>
    <x v="2"/>
    <s v="Notebook"/>
    <s v="Notebook"/>
    <x v="1"/>
    <x v="1"/>
    <n v="8"/>
    <n v="42418"/>
    <n v="20"/>
    <n v="271475.20000000001"/>
    <n v="77262.06"/>
  </r>
  <r>
    <x v="777"/>
    <x v="237"/>
    <x v="1"/>
    <s v="Tamil Nadu"/>
    <s v="Chennai"/>
    <x v="2"/>
    <s v="Pen"/>
    <s v="Pen"/>
    <x v="3"/>
    <x v="1"/>
    <n v="3"/>
    <n v="48110"/>
    <n v="5"/>
    <n v="137113.5"/>
    <n v="7107.95"/>
  </r>
  <r>
    <x v="778"/>
    <x v="323"/>
    <x v="3"/>
    <s v="Maharashtra"/>
    <s v="Mumbai"/>
    <x v="0"/>
    <s v="Desk"/>
    <s v="Desk"/>
    <x v="5"/>
    <x v="0"/>
    <n v="8"/>
    <n v="26200"/>
    <n v="15"/>
    <n v="178160"/>
    <n v="30265.14"/>
  </r>
  <r>
    <x v="779"/>
    <x v="91"/>
    <x v="0"/>
    <s v="Odisha"/>
    <s v="Bhubaneswar"/>
    <x v="0"/>
    <s v="Table"/>
    <s v="Table"/>
    <x v="6"/>
    <x v="1"/>
    <n v="3"/>
    <n v="1477"/>
    <n v="0"/>
    <n v="4431"/>
    <n v="792.23"/>
  </r>
  <r>
    <x v="780"/>
    <x v="228"/>
    <x v="2"/>
    <s v="Delhi"/>
    <s v="Delhi"/>
    <x v="1"/>
    <s v="Keyboard"/>
    <s v="Keyboard"/>
    <x v="7"/>
    <x v="0"/>
    <n v="6"/>
    <n v="35403"/>
    <n v="5"/>
    <n v="201797.1"/>
    <n v="49061.78"/>
  </r>
  <r>
    <x v="781"/>
    <x v="283"/>
    <x v="1"/>
    <s v="Tamil Nadu"/>
    <s v="Chennai"/>
    <x v="1"/>
    <s v="Keyboard"/>
    <s v="Keyboard"/>
    <x v="2"/>
    <x v="0"/>
    <n v="8"/>
    <n v="14920"/>
    <n v="5"/>
    <n v="113392"/>
    <n v="22311.24"/>
  </r>
  <r>
    <x v="782"/>
    <x v="370"/>
    <x v="3"/>
    <s v="Maharashtra"/>
    <s v="Mumbai"/>
    <x v="1"/>
    <s v="Keyboard"/>
    <s v="Keyboard"/>
    <x v="4"/>
    <x v="1"/>
    <n v="2"/>
    <n v="19332"/>
    <n v="0"/>
    <n v="38664"/>
    <n v="6057.77"/>
  </r>
  <r>
    <x v="783"/>
    <x v="223"/>
    <x v="1"/>
    <s v="Karnataka"/>
    <s v="Bengaluru"/>
    <x v="2"/>
    <s v="Pen"/>
    <s v="Pen"/>
    <x v="0"/>
    <x v="0"/>
    <n v="7"/>
    <n v="10782"/>
    <n v="15"/>
    <n v="64152.9"/>
    <n v="5170.9399999999996"/>
  </r>
  <r>
    <x v="784"/>
    <x v="337"/>
    <x v="1"/>
    <s v="Karnataka"/>
    <s v="Bengaluru"/>
    <x v="1"/>
    <s v="Mobile"/>
    <s v="Mobile"/>
    <x v="2"/>
    <x v="1"/>
    <n v="4"/>
    <n v="7425"/>
    <n v="15"/>
    <n v="25245"/>
    <n v="2364.83"/>
  </r>
  <r>
    <x v="785"/>
    <x v="66"/>
    <x v="2"/>
    <s v="Chandigarh"/>
    <s v="Chandigarh"/>
    <x v="2"/>
    <s v="Notebook"/>
    <s v="Notebook"/>
    <x v="1"/>
    <x v="0"/>
    <n v="5"/>
    <n v="14126"/>
    <n v="5"/>
    <n v="67098.5"/>
    <n v="7698.23"/>
  </r>
  <r>
    <x v="786"/>
    <x v="133"/>
    <x v="0"/>
    <s v="Odisha"/>
    <s v="Bhubaneswar"/>
    <x v="1"/>
    <s v="Monitor"/>
    <s v="Monitor"/>
    <x v="6"/>
    <x v="1"/>
    <n v="6"/>
    <n v="12541"/>
    <n v="5"/>
    <n v="71483.7"/>
    <n v="5992.18"/>
  </r>
  <r>
    <x v="787"/>
    <x v="379"/>
    <x v="2"/>
    <s v="Chandigarh"/>
    <s v="Chandigarh"/>
    <x v="0"/>
    <s v="Table"/>
    <s v="Table"/>
    <x v="2"/>
    <x v="0"/>
    <n v="2"/>
    <n v="11403"/>
    <n v="15"/>
    <n v="19385.099999999999"/>
    <n v="2915.93"/>
  </r>
  <r>
    <x v="788"/>
    <x v="16"/>
    <x v="2"/>
    <s v="Delhi"/>
    <s v="Delhi"/>
    <x v="1"/>
    <s v="Laptop"/>
    <s v="Laptop"/>
    <x v="7"/>
    <x v="1"/>
    <n v="7"/>
    <n v="30024"/>
    <n v="0"/>
    <n v="210168"/>
    <n v="59756.160000000003"/>
  </r>
  <r>
    <x v="789"/>
    <x v="74"/>
    <x v="3"/>
    <s v="Gujarat"/>
    <s v="Ahmedabad"/>
    <x v="0"/>
    <s v="Sofa"/>
    <s v="Sofa"/>
    <x v="1"/>
    <x v="1"/>
    <n v="5"/>
    <n v="8887"/>
    <n v="15"/>
    <n v="37769.75"/>
    <n v="3593.37"/>
  </r>
  <r>
    <x v="790"/>
    <x v="115"/>
    <x v="1"/>
    <s v="Tamil Nadu"/>
    <s v="Chennai"/>
    <x v="1"/>
    <s v="Monitor"/>
    <s v="Monitor"/>
    <x v="2"/>
    <x v="0"/>
    <n v="1"/>
    <n v="10412"/>
    <n v="10"/>
    <n v="9370.7999999999993"/>
    <n v="1893.65"/>
  </r>
  <r>
    <x v="791"/>
    <x v="416"/>
    <x v="3"/>
    <s v="Maharashtra"/>
    <s v="Mumbai"/>
    <x v="2"/>
    <s v="Pen"/>
    <s v="Pen"/>
    <x v="6"/>
    <x v="0"/>
    <n v="1"/>
    <n v="35044"/>
    <n v="0"/>
    <n v="35044"/>
    <n v="8026.83"/>
  </r>
  <r>
    <x v="792"/>
    <x v="220"/>
    <x v="3"/>
    <s v="Maharashtra"/>
    <s v="Mumbai"/>
    <x v="1"/>
    <s v="Monitor"/>
    <s v="Monitor"/>
    <x v="5"/>
    <x v="1"/>
    <n v="4"/>
    <n v="21861"/>
    <n v="5"/>
    <n v="83071.8"/>
    <n v="19695.490000000002"/>
  </r>
  <r>
    <x v="793"/>
    <x v="148"/>
    <x v="2"/>
    <s v="Chandigarh"/>
    <s v="Chandigarh"/>
    <x v="0"/>
    <s v="Table"/>
    <s v="Table"/>
    <x v="2"/>
    <x v="0"/>
    <n v="3"/>
    <n v="14926"/>
    <n v="15"/>
    <n v="38061.300000000003"/>
    <n v="2518.15"/>
  </r>
  <r>
    <x v="794"/>
    <x v="227"/>
    <x v="2"/>
    <s v="Delhi"/>
    <s v="Delhi"/>
    <x v="2"/>
    <s v="Printer Paper"/>
    <s v="Printer Paper"/>
    <x v="7"/>
    <x v="1"/>
    <n v="4"/>
    <n v="45533"/>
    <n v="20"/>
    <n v="145705.60000000001"/>
    <n v="34632.94"/>
  </r>
  <r>
    <x v="795"/>
    <x v="417"/>
    <x v="2"/>
    <s v="Delhi"/>
    <s v="Delhi"/>
    <x v="2"/>
    <s v="Printer Paper"/>
    <s v="Printer Paper"/>
    <x v="0"/>
    <x v="1"/>
    <n v="5"/>
    <n v="34451"/>
    <n v="0"/>
    <n v="172255"/>
    <n v="9890.5499999999993"/>
  </r>
  <r>
    <x v="796"/>
    <x v="418"/>
    <x v="2"/>
    <s v="Delhi"/>
    <s v="Delhi"/>
    <x v="1"/>
    <s v="Laptop"/>
    <s v="Laptop"/>
    <x v="0"/>
    <x v="0"/>
    <n v="2"/>
    <n v="45793"/>
    <n v="20"/>
    <n v="73268.800000000003"/>
    <n v="20682.650000000001"/>
  </r>
  <r>
    <x v="797"/>
    <x v="61"/>
    <x v="2"/>
    <s v="Chandigarh"/>
    <s v="Chandigarh"/>
    <x v="0"/>
    <s v="Table"/>
    <s v="Table"/>
    <x v="0"/>
    <x v="1"/>
    <n v="8"/>
    <n v="16814"/>
    <n v="10"/>
    <n v="121060.8"/>
    <n v="13187.98"/>
  </r>
  <r>
    <x v="798"/>
    <x v="55"/>
    <x v="3"/>
    <s v="Maharashtra"/>
    <s v="Mumbai"/>
    <x v="0"/>
    <s v="Sofa"/>
    <s v="Sofa"/>
    <x v="5"/>
    <x v="0"/>
    <n v="4"/>
    <n v="3996"/>
    <n v="10"/>
    <n v="14385.6"/>
    <n v="3503.4"/>
  </r>
  <r>
    <x v="799"/>
    <x v="419"/>
    <x v="0"/>
    <s v="Odisha"/>
    <s v="Bhubaneswar"/>
    <x v="2"/>
    <s v="Notebook"/>
    <s v="Notebook"/>
    <x v="4"/>
    <x v="0"/>
    <n v="2"/>
    <n v="26985"/>
    <n v="15"/>
    <n v="45874.5"/>
    <n v="10774.22"/>
  </r>
  <r>
    <x v="800"/>
    <x v="61"/>
    <x v="3"/>
    <s v="Gujarat"/>
    <s v="Ahmedabad"/>
    <x v="0"/>
    <s v="Sofa"/>
    <s v="Sofa"/>
    <x v="7"/>
    <x v="1"/>
    <n v="8"/>
    <n v="3681"/>
    <n v="0"/>
    <n v="29448"/>
    <n v="4433.1499999999996"/>
  </r>
  <r>
    <x v="801"/>
    <x v="295"/>
    <x v="3"/>
    <s v="Gujarat"/>
    <s v="Ahmedabad"/>
    <x v="1"/>
    <s v="Laptop"/>
    <s v="Laptop"/>
    <x v="3"/>
    <x v="1"/>
    <n v="9"/>
    <n v="14166"/>
    <n v="10"/>
    <n v="114744.6"/>
    <n v="31591.81"/>
  </r>
  <r>
    <x v="802"/>
    <x v="192"/>
    <x v="1"/>
    <s v="Tamil Nadu"/>
    <s v="Chennai"/>
    <x v="0"/>
    <s v="Chair"/>
    <s v="Chair"/>
    <x v="1"/>
    <x v="1"/>
    <n v="3"/>
    <n v="27951"/>
    <n v="20"/>
    <n v="67082.399999999994"/>
    <n v="8063.92"/>
  </r>
  <r>
    <x v="803"/>
    <x v="7"/>
    <x v="1"/>
    <s v="Karnataka"/>
    <s v="Bengaluru"/>
    <x v="0"/>
    <s v="Chair"/>
    <s v="Chair"/>
    <x v="6"/>
    <x v="0"/>
    <n v="7"/>
    <n v="38643"/>
    <n v="15"/>
    <n v="229925.85"/>
    <n v="58784.47"/>
  </r>
  <r>
    <x v="804"/>
    <x v="155"/>
    <x v="0"/>
    <s v="West Bengal"/>
    <s v="Kolkata"/>
    <x v="2"/>
    <s v="Printer Paper"/>
    <s v="Printer Paper"/>
    <x v="6"/>
    <x v="0"/>
    <n v="8"/>
    <n v="47575"/>
    <n v="15"/>
    <n v="323510"/>
    <n v="82258.490000000005"/>
  </r>
  <r>
    <x v="805"/>
    <x v="121"/>
    <x v="3"/>
    <s v="Maharashtra"/>
    <s v="Mumbai"/>
    <x v="0"/>
    <s v="Table"/>
    <s v="Table"/>
    <x v="7"/>
    <x v="1"/>
    <n v="8"/>
    <n v="15983"/>
    <n v="10"/>
    <n v="115077.6"/>
    <n v="28356.95"/>
  </r>
  <r>
    <x v="806"/>
    <x v="420"/>
    <x v="0"/>
    <s v="West Bengal"/>
    <s v="Kolkata"/>
    <x v="1"/>
    <s v="Laptop"/>
    <s v="Laptop"/>
    <x v="4"/>
    <x v="1"/>
    <n v="8"/>
    <n v="36014"/>
    <n v="5"/>
    <n v="273706.40000000002"/>
    <n v="73239.09"/>
  </r>
  <r>
    <x v="807"/>
    <x v="224"/>
    <x v="0"/>
    <s v="West Bengal"/>
    <s v="Kolkata"/>
    <x v="1"/>
    <s v="Monitor"/>
    <s v="Monitor"/>
    <x v="0"/>
    <x v="1"/>
    <n v="1"/>
    <n v="16874"/>
    <n v="10"/>
    <n v="15186.6"/>
    <n v="3566.14"/>
  </r>
  <r>
    <x v="808"/>
    <x v="200"/>
    <x v="1"/>
    <s v="Tamil Nadu"/>
    <s v="Chennai"/>
    <x v="0"/>
    <s v="Table"/>
    <s v="Table"/>
    <x v="2"/>
    <x v="0"/>
    <n v="4"/>
    <n v="25394"/>
    <n v="0"/>
    <n v="101576"/>
    <n v="9341.9500000000007"/>
  </r>
  <r>
    <x v="809"/>
    <x v="88"/>
    <x v="0"/>
    <s v="West Bengal"/>
    <s v="Kolkata"/>
    <x v="2"/>
    <s v="Notebook"/>
    <s v="Notebook"/>
    <x v="5"/>
    <x v="1"/>
    <n v="2"/>
    <n v="34741"/>
    <n v="5"/>
    <n v="66007.899999999994"/>
    <n v="13876.65"/>
  </r>
  <r>
    <x v="810"/>
    <x v="421"/>
    <x v="0"/>
    <s v="Odisha"/>
    <s v="Bhubaneswar"/>
    <x v="1"/>
    <s v="Laptop"/>
    <s v="Laptop"/>
    <x v="0"/>
    <x v="0"/>
    <n v="10"/>
    <n v="5676"/>
    <n v="0"/>
    <n v="56760"/>
    <n v="7481.3"/>
  </r>
  <r>
    <x v="811"/>
    <x v="101"/>
    <x v="3"/>
    <s v="Maharashtra"/>
    <s v="Mumbai"/>
    <x v="2"/>
    <s v="Notebook"/>
    <s v="Notebook"/>
    <x v="7"/>
    <x v="0"/>
    <n v="9"/>
    <n v="35494"/>
    <n v="10"/>
    <n v="287501.40000000002"/>
    <n v="55008.79"/>
  </r>
  <r>
    <x v="812"/>
    <x v="234"/>
    <x v="2"/>
    <s v="Delhi"/>
    <s v="Delhi"/>
    <x v="2"/>
    <s v="Notebook"/>
    <s v="Notebook"/>
    <x v="2"/>
    <x v="0"/>
    <n v="2"/>
    <n v="36533"/>
    <n v="15"/>
    <n v="62106.1"/>
    <n v="14071.46"/>
  </r>
  <r>
    <x v="813"/>
    <x v="26"/>
    <x v="2"/>
    <s v="Chandigarh"/>
    <s v="Chandigarh"/>
    <x v="0"/>
    <s v="Table"/>
    <s v="Table"/>
    <x v="1"/>
    <x v="0"/>
    <n v="5"/>
    <n v="47903"/>
    <n v="15"/>
    <n v="203587.75"/>
    <n v="23616.65"/>
  </r>
  <r>
    <x v="814"/>
    <x v="422"/>
    <x v="3"/>
    <s v="Gujarat"/>
    <s v="Ahmedabad"/>
    <x v="2"/>
    <s v="Pen"/>
    <s v="Pen"/>
    <x v="0"/>
    <x v="0"/>
    <n v="6"/>
    <n v="18194"/>
    <n v="5"/>
    <n v="103705.8"/>
    <n v="25696.1"/>
  </r>
  <r>
    <x v="815"/>
    <x v="55"/>
    <x v="3"/>
    <s v="Maharashtra"/>
    <s v="Mumbai"/>
    <x v="1"/>
    <s v="Mobile"/>
    <s v="Mobile"/>
    <x v="3"/>
    <x v="0"/>
    <n v="8"/>
    <n v="10406"/>
    <n v="10"/>
    <n v="74923.199999999997"/>
    <n v="17454.11"/>
  </r>
  <r>
    <x v="816"/>
    <x v="95"/>
    <x v="3"/>
    <s v="Gujarat"/>
    <s v="Ahmedabad"/>
    <x v="0"/>
    <s v="Chair"/>
    <s v="Chair"/>
    <x v="7"/>
    <x v="0"/>
    <n v="4"/>
    <n v="19158"/>
    <n v="15"/>
    <n v="65137.2"/>
    <n v="5038.79"/>
  </r>
  <r>
    <x v="817"/>
    <x v="225"/>
    <x v="0"/>
    <s v="West Bengal"/>
    <s v="Kolkata"/>
    <x v="2"/>
    <s v="Printer Paper"/>
    <s v="Printer Paper"/>
    <x v="7"/>
    <x v="0"/>
    <n v="10"/>
    <n v="4206"/>
    <n v="20"/>
    <n v="33648"/>
    <n v="5392.23"/>
  </r>
  <r>
    <x v="818"/>
    <x v="154"/>
    <x v="2"/>
    <s v="Chandigarh"/>
    <s v="Chandigarh"/>
    <x v="2"/>
    <s v="Printer Paper"/>
    <s v="Printer Paper"/>
    <x v="6"/>
    <x v="1"/>
    <n v="4"/>
    <n v="26228"/>
    <n v="20"/>
    <n v="83929.600000000006"/>
    <n v="23569.8"/>
  </r>
  <r>
    <x v="819"/>
    <x v="72"/>
    <x v="0"/>
    <s v="West Bengal"/>
    <s v="Kolkata"/>
    <x v="2"/>
    <s v="Notebook"/>
    <s v="Notebook"/>
    <x v="3"/>
    <x v="0"/>
    <n v="4"/>
    <n v="47378"/>
    <n v="10"/>
    <n v="170560.8"/>
    <n v="49417.13"/>
  </r>
  <r>
    <x v="820"/>
    <x v="423"/>
    <x v="3"/>
    <s v="Maharashtra"/>
    <s v="Mumbai"/>
    <x v="2"/>
    <s v="Pen"/>
    <s v="Pen"/>
    <x v="4"/>
    <x v="1"/>
    <n v="5"/>
    <n v="49191"/>
    <n v="15"/>
    <n v="209061.75"/>
    <n v="15235.61"/>
  </r>
  <r>
    <x v="821"/>
    <x v="146"/>
    <x v="2"/>
    <s v="Delhi"/>
    <s v="Delhi"/>
    <x v="0"/>
    <s v="Chair"/>
    <s v="Chair"/>
    <x v="4"/>
    <x v="0"/>
    <n v="1"/>
    <n v="24774"/>
    <n v="10"/>
    <n v="22296.6"/>
    <n v="4019.27"/>
  </r>
  <r>
    <x v="822"/>
    <x v="168"/>
    <x v="2"/>
    <s v="Delhi"/>
    <s v="Delhi"/>
    <x v="2"/>
    <s v="Pen"/>
    <s v="Pen"/>
    <x v="5"/>
    <x v="1"/>
    <n v="4"/>
    <n v="7216"/>
    <n v="15"/>
    <n v="24534.400000000001"/>
    <n v="5934.01"/>
  </r>
  <r>
    <x v="823"/>
    <x v="300"/>
    <x v="0"/>
    <s v="West Bengal"/>
    <s v="Kolkata"/>
    <x v="1"/>
    <s v="Laptop"/>
    <s v="Laptop"/>
    <x v="4"/>
    <x v="0"/>
    <n v="6"/>
    <n v="42324"/>
    <n v="15"/>
    <n v="215852.4"/>
    <n v="55293.52"/>
  </r>
  <r>
    <x v="824"/>
    <x v="279"/>
    <x v="1"/>
    <s v="Karnataka"/>
    <s v="Bengaluru"/>
    <x v="1"/>
    <s v="Laptop"/>
    <s v="Laptop"/>
    <x v="4"/>
    <x v="1"/>
    <n v="2"/>
    <n v="14008"/>
    <n v="15"/>
    <n v="23813.599999999999"/>
    <n v="4111.6000000000004"/>
  </r>
  <r>
    <x v="825"/>
    <x v="57"/>
    <x v="3"/>
    <s v="Gujarat"/>
    <s v="Ahmedabad"/>
    <x v="0"/>
    <s v="Sofa"/>
    <s v="Sofa"/>
    <x v="7"/>
    <x v="1"/>
    <n v="2"/>
    <n v="3016"/>
    <n v="15"/>
    <n v="5127.2"/>
    <n v="1016.11"/>
  </r>
  <r>
    <x v="826"/>
    <x v="424"/>
    <x v="2"/>
    <s v="Delhi"/>
    <s v="Delhi"/>
    <x v="1"/>
    <s v="Keyboard"/>
    <s v="Keyboard"/>
    <x v="4"/>
    <x v="0"/>
    <n v="1"/>
    <n v="41470"/>
    <n v="10"/>
    <n v="37323"/>
    <n v="7649.84"/>
  </r>
  <r>
    <x v="827"/>
    <x v="195"/>
    <x v="1"/>
    <s v="Karnataka"/>
    <s v="Bengaluru"/>
    <x v="2"/>
    <s v="Printer Paper"/>
    <s v="Printer Paper"/>
    <x v="1"/>
    <x v="1"/>
    <n v="3"/>
    <n v="17988"/>
    <n v="0"/>
    <n v="53964"/>
    <n v="10961.29"/>
  </r>
  <r>
    <x v="828"/>
    <x v="182"/>
    <x v="0"/>
    <s v="West Bengal"/>
    <s v="Kolkata"/>
    <x v="0"/>
    <s v="Desk"/>
    <s v="Desk"/>
    <x v="1"/>
    <x v="0"/>
    <n v="1"/>
    <n v="40004"/>
    <n v="5"/>
    <n v="38003.800000000003"/>
    <n v="8251.57"/>
  </r>
  <r>
    <x v="829"/>
    <x v="366"/>
    <x v="3"/>
    <s v="Gujarat"/>
    <s v="Ahmedabad"/>
    <x v="1"/>
    <s v="Laptop"/>
    <s v="Laptop"/>
    <x v="4"/>
    <x v="1"/>
    <n v="9"/>
    <n v="14777"/>
    <n v="10"/>
    <n v="119693.7"/>
    <n v="28247.18"/>
  </r>
  <r>
    <x v="830"/>
    <x v="37"/>
    <x v="1"/>
    <s v="Karnataka"/>
    <s v="Bengaluru"/>
    <x v="2"/>
    <s v="Notebook"/>
    <s v="Notebook"/>
    <x v="3"/>
    <x v="0"/>
    <n v="10"/>
    <n v="2074"/>
    <n v="15"/>
    <n v="17629"/>
    <n v="3855.8"/>
  </r>
  <r>
    <x v="831"/>
    <x v="271"/>
    <x v="3"/>
    <s v="Gujarat"/>
    <s v="Ahmedabad"/>
    <x v="1"/>
    <s v="Keyboard"/>
    <s v="Keyboard"/>
    <x v="1"/>
    <x v="1"/>
    <n v="9"/>
    <n v="38019"/>
    <n v="5"/>
    <n v="325062.45"/>
    <n v="95119.07"/>
  </r>
  <r>
    <x v="832"/>
    <x v="55"/>
    <x v="1"/>
    <s v="Tamil Nadu"/>
    <s v="Chennai"/>
    <x v="1"/>
    <s v="Monitor"/>
    <s v="Monitor"/>
    <x v="0"/>
    <x v="0"/>
    <n v="10"/>
    <n v="15062"/>
    <n v="5"/>
    <n v="143089"/>
    <n v="16422.740000000002"/>
  </r>
  <r>
    <x v="833"/>
    <x v="95"/>
    <x v="0"/>
    <s v="West Bengal"/>
    <s v="Kolkata"/>
    <x v="2"/>
    <s v="Printer Paper"/>
    <s v="Printer Paper"/>
    <x v="5"/>
    <x v="1"/>
    <n v="8"/>
    <n v="10929"/>
    <n v="0"/>
    <n v="87432"/>
    <n v="5560.78"/>
  </r>
  <r>
    <x v="834"/>
    <x v="238"/>
    <x v="2"/>
    <s v="Chandigarh"/>
    <s v="Chandigarh"/>
    <x v="0"/>
    <s v="Table"/>
    <s v="Table"/>
    <x v="3"/>
    <x v="0"/>
    <n v="10"/>
    <n v="8182"/>
    <n v="10"/>
    <n v="73638"/>
    <n v="6386.9"/>
  </r>
  <r>
    <x v="835"/>
    <x v="117"/>
    <x v="2"/>
    <s v="Chandigarh"/>
    <s v="Chandigarh"/>
    <x v="0"/>
    <s v="Chair"/>
    <s v="Chair"/>
    <x v="3"/>
    <x v="0"/>
    <n v="3"/>
    <n v="24006"/>
    <n v="20"/>
    <n v="57614.400000000001"/>
    <n v="7443.42"/>
  </r>
  <r>
    <x v="836"/>
    <x v="78"/>
    <x v="2"/>
    <s v="Chandigarh"/>
    <s v="Chandigarh"/>
    <x v="2"/>
    <s v="Pen"/>
    <s v="Pen"/>
    <x v="4"/>
    <x v="0"/>
    <n v="6"/>
    <n v="8374"/>
    <n v="0"/>
    <n v="50244"/>
    <n v="11323.37"/>
  </r>
  <r>
    <x v="837"/>
    <x v="230"/>
    <x v="1"/>
    <s v="Karnataka"/>
    <s v="Bengaluru"/>
    <x v="0"/>
    <s v="Table"/>
    <s v="Table"/>
    <x v="2"/>
    <x v="0"/>
    <n v="6"/>
    <n v="9105"/>
    <n v="10"/>
    <n v="49167"/>
    <n v="11038.82"/>
  </r>
  <r>
    <x v="838"/>
    <x v="336"/>
    <x v="3"/>
    <s v="Gujarat"/>
    <s v="Ahmedabad"/>
    <x v="2"/>
    <s v="Stapler"/>
    <s v="Stapler"/>
    <x v="3"/>
    <x v="0"/>
    <n v="6"/>
    <n v="17809"/>
    <n v="5"/>
    <n v="101511.3"/>
    <n v="14029.16"/>
  </r>
  <r>
    <x v="839"/>
    <x v="12"/>
    <x v="1"/>
    <s v="Tamil Nadu"/>
    <s v="Chennai"/>
    <x v="2"/>
    <s v="Stapler"/>
    <s v="Stapler"/>
    <x v="5"/>
    <x v="0"/>
    <n v="8"/>
    <n v="10360"/>
    <n v="5"/>
    <n v="78736"/>
    <n v="5021.47"/>
  </r>
  <r>
    <x v="840"/>
    <x v="17"/>
    <x v="2"/>
    <s v="Delhi"/>
    <s v="Delhi"/>
    <x v="0"/>
    <s v="Sofa"/>
    <s v="Sofa"/>
    <x v="4"/>
    <x v="0"/>
    <n v="6"/>
    <n v="44205"/>
    <n v="15"/>
    <n v="225445.5"/>
    <n v="67178.25"/>
  </r>
  <r>
    <x v="841"/>
    <x v="425"/>
    <x v="0"/>
    <s v="West Bengal"/>
    <s v="Kolkata"/>
    <x v="2"/>
    <s v="Printer Paper"/>
    <s v="Printer Paper"/>
    <x v="1"/>
    <x v="0"/>
    <n v="2"/>
    <n v="36684"/>
    <n v="5"/>
    <n v="69699.600000000006"/>
    <n v="7938.68"/>
  </r>
  <r>
    <x v="842"/>
    <x v="238"/>
    <x v="3"/>
    <s v="Gujarat"/>
    <s v="Ahmedabad"/>
    <x v="1"/>
    <s v="Monitor"/>
    <s v="Monitor"/>
    <x v="5"/>
    <x v="0"/>
    <n v="6"/>
    <n v="23925"/>
    <n v="10"/>
    <n v="129195"/>
    <n v="19216.810000000001"/>
  </r>
  <r>
    <x v="843"/>
    <x v="406"/>
    <x v="1"/>
    <s v="Tamil Nadu"/>
    <s v="Chennai"/>
    <x v="2"/>
    <s v="Pen"/>
    <s v="Pen"/>
    <x v="0"/>
    <x v="0"/>
    <n v="5"/>
    <n v="39801"/>
    <n v="0"/>
    <n v="199005"/>
    <n v="49363.49"/>
  </r>
  <r>
    <x v="844"/>
    <x v="366"/>
    <x v="2"/>
    <s v="Delhi"/>
    <s v="Delhi"/>
    <x v="1"/>
    <s v="Keyboard"/>
    <s v="Keyboard"/>
    <x v="7"/>
    <x v="0"/>
    <n v="8"/>
    <n v="35554"/>
    <n v="15"/>
    <n v="241767.2"/>
    <n v="40449.120000000003"/>
  </r>
  <r>
    <x v="845"/>
    <x v="410"/>
    <x v="2"/>
    <s v="Delhi"/>
    <s v="Delhi"/>
    <x v="1"/>
    <s v="Monitor"/>
    <s v="Monitor"/>
    <x v="0"/>
    <x v="0"/>
    <n v="1"/>
    <n v="44952"/>
    <n v="15"/>
    <n v="38209.199999999997"/>
    <n v="5394.65"/>
  </r>
  <r>
    <x v="846"/>
    <x v="209"/>
    <x v="3"/>
    <s v="Gujarat"/>
    <s v="Ahmedabad"/>
    <x v="2"/>
    <s v="Pen"/>
    <s v="Pen"/>
    <x v="1"/>
    <x v="1"/>
    <n v="9"/>
    <n v="3692"/>
    <n v="15"/>
    <n v="28243.8"/>
    <n v="6976.66"/>
  </r>
  <r>
    <x v="847"/>
    <x v="271"/>
    <x v="1"/>
    <s v="Karnataka"/>
    <s v="Bengaluru"/>
    <x v="2"/>
    <s v="Printer Paper"/>
    <s v="Printer Paper"/>
    <x v="6"/>
    <x v="1"/>
    <n v="7"/>
    <n v="36830"/>
    <n v="20"/>
    <n v="206248"/>
    <n v="39371.46"/>
  </r>
  <r>
    <x v="848"/>
    <x v="426"/>
    <x v="1"/>
    <s v="Tamil Nadu"/>
    <s v="Chennai"/>
    <x v="1"/>
    <s v="Mobile"/>
    <s v="Mobile"/>
    <x v="6"/>
    <x v="1"/>
    <n v="7"/>
    <n v="25965"/>
    <n v="10"/>
    <n v="163579.5"/>
    <n v="39216.959999999999"/>
  </r>
  <r>
    <x v="849"/>
    <x v="255"/>
    <x v="1"/>
    <s v="Tamil Nadu"/>
    <s v="Chennai"/>
    <x v="2"/>
    <s v="Notebook"/>
    <s v="Notebook"/>
    <x v="5"/>
    <x v="0"/>
    <n v="4"/>
    <n v="1150"/>
    <n v="5"/>
    <n v="4370"/>
    <n v="685.77"/>
  </r>
  <r>
    <x v="850"/>
    <x v="132"/>
    <x v="2"/>
    <s v="Chandigarh"/>
    <s v="Chandigarh"/>
    <x v="1"/>
    <s v="Monitor"/>
    <s v="Monitor"/>
    <x v="5"/>
    <x v="1"/>
    <n v="7"/>
    <n v="3537"/>
    <n v="15"/>
    <n v="21045.15"/>
    <n v="5872.84"/>
  </r>
  <r>
    <x v="851"/>
    <x v="383"/>
    <x v="0"/>
    <s v="Odisha"/>
    <s v="Bhubaneswar"/>
    <x v="0"/>
    <s v="Table"/>
    <s v="Table"/>
    <x v="6"/>
    <x v="1"/>
    <n v="2"/>
    <n v="11167"/>
    <n v="20"/>
    <n v="17867.2"/>
    <n v="1326.07"/>
  </r>
  <r>
    <x v="852"/>
    <x v="158"/>
    <x v="2"/>
    <s v="Chandigarh"/>
    <s v="Chandigarh"/>
    <x v="0"/>
    <s v="Chair"/>
    <s v="Chair"/>
    <x v="6"/>
    <x v="1"/>
    <n v="7"/>
    <n v="37156"/>
    <n v="10"/>
    <n v="234082.8"/>
    <n v="51174.9"/>
  </r>
  <r>
    <x v="853"/>
    <x v="383"/>
    <x v="0"/>
    <s v="West Bengal"/>
    <s v="Kolkata"/>
    <x v="2"/>
    <s v="Stapler"/>
    <s v="Stapler"/>
    <x v="4"/>
    <x v="1"/>
    <n v="10"/>
    <n v="41083"/>
    <n v="5"/>
    <n v="390288.5"/>
    <n v="29498.720000000001"/>
  </r>
  <r>
    <x v="854"/>
    <x v="427"/>
    <x v="2"/>
    <s v="Chandigarh"/>
    <s v="Chandigarh"/>
    <x v="0"/>
    <s v="Sofa"/>
    <s v="Sofa"/>
    <x v="3"/>
    <x v="0"/>
    <n v="3"/>
    <n v="23979"/>
    <n v="10"/>
    <n v="64743.3"/>
    <n v="4397.84"/>
  </r>
  <r>
    <x v="855"/>
    <x v="151"/>
    <x v="0"/>
    <s v="Odisha"/>
    <s v="Bhubaneswar"/>
    <x v="1"/>
    <s v="Keyboard"/>
    <s v="Keyboard"/>
    <x v="7"/>
    <x v="1"/>
    <n v="10"/>
    <n v="22653"/>
    <n v="10"/>
    <n v="203877"/>
    <n v="52374.96"/>
  </r>
  <r>
    <x v="856"/>
    <x v="27"/>
    <x v="2"/>
    <s v="Delhi"/>
    <s v="Delhi"/>
    <x v="0"/>
    <s v="Sofa"/>
    <s v="Sofa"/>
    <x v="2"/>
    <x v="0"/>
    <n v="2"/>
    <n v="4351"/>
    <n v="20"/>
    <n v="6961.6"/>
    <n v="834.36"/>
  </r>
  <r>
    <x v="857"/>
    <x v="428"/>
    <x v="1"/>
    <s v="Tamil Nadu"/>
    <s v="Chennai"/>
    <x v="1"/>
    <s v="Monitor"/>
    <s v="Monitor"/>
    <x v="5"/>
    <x v="0"/>
    <n v="7"/>
    <n v="37944"/>
    <n v="0"/>
    <n v="265608"/>
    <n v="53940.33"/>
  </r>
  <r>
    <x v="858"/>
    <x v="161"/>
    <x v="0"/>
    <s v="Odisha"/>
    <s v="Bhubaneswar"/>
    <x v="1"/>
    <s v="Mobile"/>
    <s v="Mobile"/>
    <x v="5"/>
    <x v="1"/>
    <n v="1"/>
    <n v="13938"/>
    <n v="15"/>
    <n v="11847.3"/>
    <n v="1362.91"/>
  </r>
  <r>
    <x v="859"/>
    <x v="212"/>
    <x v="3"/>
    <s v="Maharashtra"/>
    <s v="Mumbai"/>
    <x v="0"/>
    <s v="Chair"/>
    <s v="Chair"/>
    <x v="5"/>
    <x v="0"/>
    <n v="2"/>
    <n v="17687"/>
    <n v="10"/>
    <n v="31836.6"/>
    <n v="3731.42"/>
  </r>
  <r>
    <x v="860"/>
    <x v="384"/>
    <x v="2"/>
    <s v="Delhi"/>
    <s v="Delhi"/>
    <x v="1"/>
    <s v="Monitor"/>
    <s v="Monitor"/>
    <x v="6"/>
    <x v="1"/>
    <n v="8"/>
    <n v="3730"/>
    <n v="5"/>
    <n v="28348"/>
    <n v="3680.93"/>
  </r>
  <r>
    <x v="861"/>
    <x v="10"/>
    <x v="2"/>
    <s v="Delhi"/>
    <s v="Delhi"/>
    <x v="0"/>
    <s v="Chair"/>
    <s v="Chair"/>
    <x v="2"/>
    <x v="1"/>
    <n v="1"/>
    <n v="31171"/>
    <n v="10"/>
    <n v="28053.9"/>
    <n v="3711.99"/>
  </r>
  <r>
    <x v="862"/>
    <x v="277"/>
    <x v="1"/>
    <s v="Karnataka"/>
    <s v="Bengaluru"/>
    <x v="0"/>
    <s v="Desk"/>
    <s v="Desk"/>
    <x v="1"/>
    <x v="1"/>
    <n v="8"/>
    <n v="30964"/>
    <n v="15"/>
    <n v="210555.2"/>
    <n v="29012.86"/>
  </r>
  <r>
    <x v="863"/>
    <x v="195"/>
    <x v="1"/>
    <s v="Tamil Nadu"/>
    <s v="Chennai"/>
    <x v="0"/>
    <s v="Sofa"/>
    <s v="Sofa"/>
    <x v="1"/>
    <x v="1"/>
    <n v="1"/>
    <n v="21994"/>
    <n v="0"/>
    <n v="21994"/>
    <n v="3401.57"/>
  </r>
  <r>
    <x v="864"/>
    <x v="200"/>
    <x v="2"/>
    <s v="Chandigarh"/>
    <s v="Chandigarh"/>
    <x v="0"/>
    <s v="Desk"/>
    <s v="Desk"/>
    <x v="5"/>
    <x v="1"/>
    <n v="7"/>
    <n v="35883"/>
    <n v="15"/>
    <n v="213503.85"/>
    <n v="16193"/>
  </r>
  <r>
    <x v="865"/>
    <x v="37"/>
    <x v="3"/>
    <s v="Gujarat"/>
    <s v="Ahmedabad"/>
    <x v="2"/>
    <s v="Notebook"/>
    <s v="Notebook"/>
    <x v="7"/>
    <x v="0"/>
    <n v="7"/>
    <n v="42564"/>
    <n v="0"/>
    <n v="297948"/>
    <n v="41815.64"/>
  </r>
  <r>
    <x v="866"/>
    <x v="366"/>
    <x v="3"/>
    <s v="Gujarat"/>
    <s v="Ahmedabad"/>
    <x v="0"/>
    <s v="Table"/>
    <s v="Table"/>
    <x v="3"/>
    <x v="1"/>
    <n v="4"/>
    <n v="6455"/>
    <n v="5"/>
    <n v="24529"/>
    <n v="6995.78"/>
  </r>
  <r>
    <x v="867"/>
    <x v="54"/>
    <x v="1"/>
    <s v="Tamil Nadu"/>
    <s v="Chennai"/>
    <x v="2"/>
    <s v="Pen"/>
    <s v="Pen"/>
    <x v="0"/>
    <x v="1"/>
    <n v="8"/>
    <n v="31378"/>
    <n v="20"/>
    <n v="200819.20000000001"/>
    <n v="13022.31"/>
  </r>
  <r>
    <x v="868"/>
    <x v="429"/>
    <x v="0"/>
    <s v="Odisha"/>
    <s v="Bhubaneswar"/>
    <x v="2"/>
    <s v="Notebook"/>
    <s v="Notebook"/>
    <x v="3"/>
    <x v="0"/>
    <n v="5"/>
    <n v="23900"/>
    <n v="15"/>
    <n v="101575"/>
    <n v="26833.51"/>
  </r>
  <r>
    <x v="869"/>
    <x v="430"/>
    <x v="0"/>
    <s v="Odisha"/>
    <s v="Bhubaneswar"/>
    <x v="1"/>
    <s v="Monitor"/>
    <s v="Monitor"/>
    <x v="2"/>
    <x v="1"/>
    <n v="7"/>
    <n v="7343"/>
    <n v="10"/>
    <n v="46260.9"/>
    <n v="11638.06"/>
  </r>
  <r>
    <x v="870"/>
    <x v="284"/>
    <x v="1"/>
    <s v="Karnataka"/>
    <s v="Bengaluru"/>
    <x v="2"/>
    <s v="Stapler"/>
    <s v="Stapler"/>
    <x v="3"/>
    <x v="1"/>
    <n v="9"/>
    <n v="45371"/>
    <n v="5"/>
    <n v="387922.05"/>
    <n v="103635.55"/>
  </r>
  <r>
    <x v="871"/>
    <x v="90"/>
    <x v="0"/>
    <s v="Odisha"/>
    <s v="Bhubaneswar"/>
    <x v="0"/>
    <s v="Table"/>
    <s v="Table"/>
    <x v="2"/>
    <x v="0"/>
    <n v="4"/>
    <n v="16401"/>
    <n v="10"/>
    <n v="59043.6"/>
    <n v="14921.33"/>
  </r>
  <r>
    <x v="872"/>
    <x v="169"/>
    <x v="2"/>
    <s v="Chandigarh"/>
    <s v="Chandigarh"/>
    <x v="1"/>
    <s v="Keyboard"/>
    <s v="Keyboard"/>
    <x v="7"/>
    <x v="0"/>
    <n v="10"/>
    <n v="8962"/>
    <n v="0"/>
    <n v="89620"/>
    <n v="13662.57"/>
  </r>
  <r>
    <x v="873"/>
    <x v="10"/>
    <x v="3"/>
    <s v="Maharashtra"/>
    <s v="Mumbai"/>
    <x v="0"/>
    <s v="Chair"/>
    <s v="Chair"/>
    <x v="3"/>
    <x v="1"/>
    <n v="5"/>
    <n v="34382"/>
    <n v="15"/>
    <n v="146123.5"/>
    <n v="17075.96"/>
  </r>
  <r>
    <x v="874"/>
    <x v="73"/>
    <x v="3"/>
    <s v="Maharashtra"/>
    <s v="Mumbai"/>
    <x v="0"/>
    <s v="Sofa"/>
    <s v="Sofa"/>
    <x v="1"/>
    <x v="0"/>
    <n v="5"/>
    <n v="38334"/>
    <n v="0"/>
    <n v="191670"/>
    <n v="30352.33"/>
  </r>
  <r>
    <x v="875"/>
    <x v="82"/>
    <x v="3"/>
    <s v="Gujarat"/>
    <s v="Ahmedabad"/>
    <x v="2"/>
    <s v="Notebook"/>
    <s v="Notebook"/>
    <x v="3"/>
    <x v="0"/>
    <n v="9"/>
    <n v="8923"/>
    <n v="10"/>
    <n v="72276.3"/>
    <n v="9486.7000000000007"/>
  </r>
  <r>
    <x v="876"/>
    <x v="431"/>
    <x v="2"/>
    <s v="Delhi"/>
    <s v="Delhi"/>
    <x v="1"/>
    <s v="Monitor"/>
    <s v="Monitor"/>
    <x v="3"/>
    <x v="0"/>
    <n v="8"/>
    <n v="34841"/>
    <n v="0"/>
    <n v="278728"/>
    <n v="45479.21"/>
  </r>
  <r>
    <x v="877"/>
    <x v="310"/>
    <x v="2"/>
    <s v="Chandigarh"/>
    <s v="Chandigarh"/>
    <x v="2"/>
    <s v="Printer Paper"/>
    <s v="Printer Paper"/>
    <x v="4"/>
    <x v="0"/>
    <n v="9"/>
    <n v="1880"/>
    <n v="15"/>
    <n v="14382"/>
    <n v="3120.04"/>
  </r>
  <r>
    <x v="878"/>
    <x v="414"/>
    <x v="0"/>
    <s v="West Bengal"/>
    <s v="Kolkata"/>
    <x v="1"/>
    <s v="Keyboard"/>
    <s v="Keyboard"/>
    <x v="7"/>
    <x v="0"/>
    <n v="10"/>
    <n v="10541"/>
    <n v="15"/>
    <n v="89598.5"/>
    <n v="25913.56"/>
  </r>
  <r>
    <x v="879"/>
    <x v="362"/>
    <x v="2"/>
    <s v="Delhi"/>
    <s v="Delhi"/>
    <x v="1"/>
    <s v="Keyboard"/>
    <s v="Keyboard"/>
    <x v="6"/>
    <x v="1"/>
    <n v="7"/>
    <n v="11152"/>
    <n v="0"/>
    <n v="78064"/>
    <n v="7701.58"/>
  </r>
  <r>
    <x v="880"/>
    <x v="139"/>
    <x v="0"/>
    <s v="Odisha"/>
    <s v="Bhubaneswar"/>
    <x v="1"/>
    <s v="Laptop"/>
    <s v="Laptop"/>
    <x v="0"/>
    <x v="0"/>
    <n v="8"/>
    <n v="7928"/>
    <n v="15"/>
    <n v="53910.400000000001"/>
    <n v="14145.98"/>
  </r>
  <r>
    <x v="881"/>
    <x v="9"/>
    <x v="3"/>
    <s v="Gujarat"/>
    <s v="Ahmedabad"/>
    <x v="0"/>
    <s v="Desk"/>
    <s v="Desk"/>
    <x v="3"/>
    <x v="0"/>
    <n v="9"/>
    <n v="19226"/>
    <n v="5"/>
    <n v="164382.29999999999"/>
    <n v="28149.61"/>
  </r>
  <r>
    <x v="882"/>
    <x v="344"/>
    <x v="2"/>
    <s v="Chandigarh"/>
    <s v="Chandigarh"/>
    <x v="2"/>
    <s v="Notebook"/>
    <s v="Notebook"/>
    <x v="1"/>
    <x v="0"/>
    <n v="8"/>
    <n v="499"/>
    <n v="15"/>
    <n v="3393.2"/>
    <n v="780.99"/>
  </r>
  <r>
    <x v="883"/>
    <x v="396"/>
    <x v="1"/>
    <s v="Tamil Nadu"/>
    <s v="Chennai"/>
    <x v="2"/>
    <s v="Printer Paper"/>
    <s v="Printer Paper"/>
    <x v="2"/>
    <x v="1"/>
    <n v="2"/>
    <n v="40449"/>
    <n v="10"/>
    <n v="72808.2"/>
    <n v="11665.08"/>
  </r>
  <r>
    <x v="884"/>
    <x v="431"/>
    <x v="0"/>
    <s v="West Bengal"/>
    <s v="Kolkata"/>
    <x v="2"/>
    <s v="Stapler"/>
    <s v="Stapler"/>
    <x v="6"/>
    <x v="1"/>
    <n v="5"/>
    <n v="20528"/>
    <n v="10"/>
    <n v="92376"/>
    <n v="21917.02"/>
  </r>
  <r>
    <x v="885"/>
    <x v="432"/>
    <x v="2"/>
    <s v="Delhi"/>
    <s v="Delhi"/>
    <x v="2"/>
    <s v="Stapler"/>
    <s v="Stapler"/>
    <x v="4"/>
    <x v="0"/>
    <n v="7"/>
    <n v="34439"/>
    <n v="10"/>
    <n v="216965.7"/>
    <n v="21846.63"/>
  </r>
  <r>
    <x v="886"/>
    <x v="240"/>
    <x v="2"/>
    <s v="Chandigarh"/>
    <s v="Chandigarh"/>
    <x v="0"/>
    <s v="Table"/>
    <s v="Table"/>
    <x v="0"/>
    <x v="0"/>
    <n v="6"/>
    <n v="40012"/>
    <n v="5"/>
    <n v="228068.4"/>
    <n v="58480.12"/>
  </r>
  <r>
    <x v="887"/>
    <x v="433"/>
    <x v="1"/>
    <s v="Karnataka"/>
    <s v="Bengaluru"/>
    <x v="1"/>
    <s v="Monitor"/>
    <s v="Monitor"/>
    <x v="7"/>
    <x v="1"/>
    <n v="2"/>
    <n v="31177"/>
    <n v="20"/>
    <n v="49883.199999999997"/>
    <n v="9131.9500000000007"/>
  </r>
  <r>
    <x v="888"/>
    <x v="326"/>
    <x v="3"/>
    <s v="Maharashtra"/>
    <s v="Mumbai"/>
    <x v="0"/>
    <s v="Desk"/>
    <s v="Desk"/>
    <x v="3"/>
    <x v="1"/>
    <n v="9"/>
    <n v="45481"/>
    <n v="5"/>
    <n v="388862.55"/>
    <n v="93976.83"/>
  </r>
  <r>
    <x v="889"/>
    <x v="286"/>
    <x v="1"/>
    <s v="Karnataka"/>
    <s v="Bengaluru"/>
    <x v="1"/>
    <s v="Monitor"/>
    <s v="Monitor"/>
    <x v="5"/>
    <x v="0"/>
    <n v="10"/>
    <n v="9819"/>
    <n v="10"/>
    <n v="88371"/>
    <n v="17848.5"/>
  </r>
  <r>
    <x v="890"/>
    <x v="434"/>
    <x v="1"/>
    <s v="Karnataka"/>
    <s v="Bengaluru"/>
    <x v="0"/>
    <s v="Sofa"/>
    <s v="Sofa"/>
    <x v="7"/>
    <x v="1"/>
    <n v="9"/>
    <n v="46648"/>
    <n v="5"/>
    <n v="398840.4"/>
    <n v="102453.61"/>
  </r>
  <r>
    <x v="891"/>
    <x v="81"/>
    <x v="1"/>
    <s v="Karnataka"/>
    <s v="Bengaluru"/>
    <x v="2"/>
    <s v="Stapler"/>
    <s v="Stapler"/>
    <x v="1"/>
    <x v="1"/>
    <n v="8"/>
    <n v="17602"/>
    <n v="5"/>
    <n v="133775.20000000001"/>
    <n v="29706.99"/>
  </r>
  <r>
    <x v="892"/>
    <x v="235"/>
    <x v="0"/>
    <s v="Odisha"/>
    <s v="Bhubaneswar"/>
    <x v="0"/>
    <s v="Desk"/>
    <s v="Desk"/>
    <x v="6"/>
    <x v="0"/>
    <n v="2"/>
    <n v="42391"/>
    <n v="10"/>
    <n v="76303.8"/>
    <n v="14082.81"/>
  </r>
  <r>
    <x v="893"/>
    <x v="435"/>
    <x v="0"/>
    <s v="West Bengal"/>
    <s v="Kolkata"/>
    <x v="2"/>
    <s v="Notebook"/>
    <s v="Notebook"/>
    <x v="7"/>
    <x v="0"/>
    <n v="5"/>
    <n v="2624"/>
    <n v="15"/>
    <n v="11152"/>
    <n v="2217.2800000000002"/>
  </r>
  <r>
    <x v="894"/>
    <x v="11"/>
    <x v="1"/>
    <s v="Karnataka"/>
    <s v="Bengaluru"/>
    <x v="0"/>
    <s v="Table"/>
    <s v="Table"/>
    <x v="1"/>
    <x v="0"/>
    <n v="9"/>
    <n v="7723"/>
    <n v="10"/>
    <n v="62556.3"/>
    <n v="5848.97"/>
  </r>
  <r>
    <x v="895"/>
    <x v="436"/>
    <x v="2"/>
    <s v="Delhi"/>
    <s v="Delhi"/>
    <x v="2"/>
    <s v="Stapler"/>
    <s v="Stapler"/>
    <x v="3"/>
    <x v="0"/>
    <n v="3"/>
    <n v="44634"/>
    <n v="20"/>
    <n v="107121.60000000001"/>
    <n v="24792.560000000001"/>
  </r>
  <r>
    <x v="896"/>
    <x v="190"/>
    <x v="1"/>
    <s v="Tamil Nadu"/>
    <s v="Chennai"/>
    <x v="0"/>
    <s v="Desk"/>
    <s v="Desk"/>
    <x v="1"/>
    <x v="0"/>
    <n v="7"/>
    <n v="10129"/>
    <n v="0"/>
    <n v="70903"/>
    <n v="6249.53"/>
  </r>
  <r>
    <x v="897"/>
    <x v="437"/>
    <x v="2"/>
    <s v="Delhi"/>
    <s v="Delhi"/>
    <x v="0"/>
    <s v="Desk"/>
    <s v="Desk"/>
    <x v="0"/>
    <x v="1"/>
    <n v="6"/>
    <n v="30750"/>
    <n v="5"/>
    <n v="175275"/>
    <n v="21158.79"/>
  </r>
  <r>
    <x v="898"/>
    <x v="91"/>
    <x v="0"/>
    <s v="West Bengal"/>
    <s v="Kolkata"/>
    <x v="1"/>
    <s v="Keyboard"/>
    <s v="Keyboard"/>
    <x v="3"/>
    <x v="1"/>
    <n v="5"/>
    <n v="9317"/>
    <n v="15"/>
    <n v="39597.25"/>
    <n v="5549.58"/>
  </r>
  <r>
    <x v="899"/>
    <x v="438"/>
    <x v="3"/>
    <s v="Gujarat"/>
    <s v="Ahmedabad"/>
    <x v="1"/>
    <s v="Laptop"/>
    <s v="Laptop"/>
    <x v="5"/>
    <x v="0"/>
    <n v="6"/>
    <n v="18589"/>
    <n v="5"/>
    <n v="105957.3"/>
    <n v="15400.59"/>
  </r>
  <r>
    <x v="900"/>
    <x v="206"/>
    <x v="0"/>
    <s v="Odisha"/>
    <s v="Bhubaneswar"/>
    <x v="0"/>
    <s v="Sofa"/>
    <s v="Sofa"/>
    <x v="4"/>
    <x v="1"/>
    <n v="4"/>
    <n v="10888"/>
    <n v="20"/>
    <n v="34841.599999999999"/>
    <n v="8511.2000000000007"/>
  </r>
  <r>
    <x v="901"/>
    <x v="176"/>
    <x v="1"/>
    <s v="Tamil Nadu"/>
    <s v="Chennai"/>
    <x v="0"/>
    <s v="Chair"/>
    <s v="Chair"/>
    <x v="2"/>
    <x v="1"/>
    <n v="1"/>
    <n v="32950"/>
    <n v="10"/>
    <n v="29655"/>
    <n v="1997.58"/>
  </r>
  <r>
    <x v="902"/>
    <x v="439"/>
    <x v="3"/>
    <s v="Gujarat"/>
    <s v="Ahmedabad"/>
    <x v="0"/>
    <s v="Chair"/>
    <s v="Chair"/>
    <x v="2"/>
    <x v="0"/>
    <n v="5"/>
    <n v="13935"/>
    <n v="5"/>
    <n v="66191.25"/>
    <n v="12941.28"/>
  </r>
  <r>
    <x v="903"/>
    <x v="13"/>
    <x v="1"/>
    <s v="Karnataka"/>
    <s v="Bengaluru"/>
    <x v="2"/>
    <s v="Notebook"/>
    <s v="Notebook"/>
    <x v="7"/>
    <x v="1"/>
    <n v="4"/>
    <n v="46913"/>
    <n v="15"/>
    <n v="159504.20000000001"/>
    <n v="41963.79"/>
  </r>
  <r>
    <x v="904"/>
    <x v="440"/>
    <x v="1"/>
    <s v="Tamil Nadu"/>
    <s v="Chennai"/>
    <x v="2"/>
    <s v="Notebook"/>
    <s v="Notebook"/>
    <x v="2"/>
    <x v="0"/>
    <n v="1"/>
    <n v="47976"/>
    <n v="15"/>
    <n v="40779.599999999999"/>
    <n v="11865.67"/>
  </r>
  <r>
    <x v="905"/>
    <x v="250"/>
    <x v="0"/>
    <s v="West Bengal"/>
    <s v="Kolkata"/>
    <x v="0"/>
    <s v="Chair"/>
    <s v="Chair"/>
    <x v="7"/>
    <x v="1"/>
    <n v="7"/>
    <n v="36725"/>
    <n v="5"/>
    <n v="244221.25"/>
    <n v="55373.440000000002"/>
  </r>
  <r>
    <x v="906"/>
    <x v="70"/>
    <x v="0"/>
    <s v="Odisha"/>
    <s v="Bhubaneswar"/>
    <x v="1"/>
    <s v="Laptop"/>
    <s v="Laptop"/>
    <x v="4"/>
    <x v="1"/>
    <n v="4"/>
    <n v="21667"/>
    <n v="10"/>
    <n v="78001.2"/>
    <n v="9094.67"/>
  </r>
  <r>
    <x v="907"/>
    <x v="324"/>
    <x v="2"/>
    <s v="Delhi"/>
    <s v="Delhi"/>
    <x v="0"/>
    <s v="Table"/>
    <s v="Table"/>
    <x v="7"/>
    <x v="0"/>
    <n v="8"/>
    <n v="13943"/>
    <n v="10"/>
    <n v="100389.6"/>
    <n v="14263.35"/>
  </r>
  <r>
    <x v="908"/>
    <x v="441"/>
    <x v="0"/>
    <s v="West Bengal"/>
    <s v="Kolkata"/>
    <x v="1"/>
    <s v="Keyboard"/>
    <s v="Keyboard"/>
    <x v="3"/>
    <x v="1"/>
    <n v="9"/>
    <n v="25274"/>
    <n v="5"/>
    <n v="216092.7"/>
    <n v="61087.78"/>
  </r>
  <r>
    <x v="909"/>
    <x v="114"/>
    <x v="0"/>
    <s v="Odisha"/>
    <s v="Bhubaneswar"/>
    <x v="2"/>
    <s v="Stapler"/>
    <s v="Stapler"/>
    <x v="4"/>
    <x v="0"/>
    <n v="8"/>
    <n v="46716"/>
    <n v="20"/>
    <n v="298982.40000000002"/>
    <n v="77618.91"/>
  </r>
  <r>
    <x v="910"/>
    <x v="442"/>
    <x v="0"/>
    <s v="Odisha"/>
    <s v="Bhubaneswar"/>
    <x v="0"/>
    <s v="Chair"/>
    <s v="Chair"/>
    <x v="4"/>
    <x v="1"/>
    <n v="2"/>
    <n v="7921"/>
    <n v="0"/>
    <n v="15842"/>
    <n v="3373.82"/>
  </r>
  <r>
    <x v="911"/>
    <x v="280"/>
    <x v="3"/>
    <s v="Maharashtra"/>
    <s v="Mumbai"/>
    <x v="2"/>
    <s v="Stapler"/>
    <s v="Stapler"/>
    <x v="7"/>
    <x v="1"/>
    <n v="5"/>
    <n v="17772"/>
    <n v="5"/>
    <n v="84417"/>
    <n v="18956.98"/>
  </r>
  <r>
    <x v="912"/>
    <x v="421"/>
    <x v="2"/>
    <s v="Delhi"/>
    <s v="Delhi"/>
    <x v="0"/>
    <s v="Chair"/>
    <s v="Chair"/>
    <x v="7"/>
    <x v="0"/>
    <n v="6"/>
    <n v="40375"/>
    <n v="15"/>
    <n v="205912.5"/>
    <n v="25239.69"/>
  </r>
  <r>
    <x v="913"/>
    <x v="211"/>
    <x v="3"/>
    <s v="Gujarat"/>
    <s v="Ahmedabad"/>
    <x v="1"/>
    <s v="Keyboard"/>
    <s v="Keyboard"/>
    <x v="0"/>
    <x v="1"/>
    <n v="8"/>
    <n v="38664"/>
    <n v="10"/>
    <n v="278380.79999999999"/>
    <n v="36723.599999999999"/>
  </r>
  <r>
    <x v="914"/>
    <x v="371"/>
    <x v="3"/>
    <s v="Maharashtra"/>
    <s v="Mumbai"/>
    <x v="0"/>
    <s v="Table"/>
    <s v="Table"/>
    <x v="1"/>
    <x v="1"/>
    <n v="5"/>
    <n v="11621"/>
    <n v="20"/>
    <n v="46484"/>
    <n v="10279.73"/>
  </r>
  <r>
    <x v="915"/>
    <x v="18"/>
    <x v="1"/>
    <s v="Karnataka"/>
    <s v="Bengaluru"/>
    <x v="0"/>
    <s v="Chair"/>
    <s v="Chair"/>
    <x v="3"/>
    <x v="1"/>
    <n v="8"/>
    <n v="25016"/>
    <n v="5"/>
    <n v="190121.60000000001"/>
    <n v="44201.58"/>
  </r>
  <r>
    <x v="916"/>
    <x v="407"/>
    <x v="0"/>
    <s v="West Bengal"/>
    <s v="Kolkata"/>
    <x v="0"/>
    <s v="Sofa"/>
    <s v="Sofa"/>
    <x v="5"/>
    <x v="1"/>
    <n v="4"/>
    <n v="15507"/>
    <n v="10"/>
    <n v="55825.2"/>
    <n v="8048.13"/>
  </r>
  <r>
    <x v="917"/>
    <x v="325"/>
    <x v="0"/>
    <s v="West Bengal"/>
    <s v="Kolkata"/>
    <x v="1"/>
    <s v="Keyboard"/>
    <s v="Keyboard"/>
    <x v="7"/>
    <x v="0"/>
    <n v="4"/>
    <n v="11450"/>
    <n v="0"/>
    <n v="45800"/>
    <n v="10449.879999999999"/>
  </r>
  <r>
    <x v="918"/>
    <x v="91"/>
    <x v="2"/>
    <s v="Chandigarh"/>
    <s v="Chandigarh"/>
    <x v="0"/>
    <s v="Table"/>
    <s v="Table"/>
    <x v="7"/>
    <x v="1"/>
    <n v="1"/>
    <n v="44905"/>
    <n v="5"/>
    <n v="42659.75"/>
    <n v="12552.58"/>
  </r>
  <r>
    <x v="919"/>
    <x v="191"/>
    <x v="3"/>
    <s v="Maharashtra"/>
    <s v="Mumbai"/>
    <x v="2"/>
    <s v="Pen"/>
    <s v="Pen"/>
    <x v="3"/>
    <x v="1"/>
    <n v="10"/>
    <n v="11632"/>
    <n v="10"/>
    <n v="104688"/>
    <n v="25105.3"/>
  </r>
  <r>
    <x v="920"/>
    <x v="223"/>
    <x v="3"/>
    <s v="Maharashtra"/>
    <s v="Mumbai"/>
    <x v="0"/>
    <s v="Sofa"/>
    <s v="Sofa"/>
    <x v="2"/>
    <x v="0"/>
    <n v="10"/>
    <n v="14008"/>
    <n v="5"/>
    <n v="133076"/>
    <n v="30678.31"/>
  </r>
  <r>
    <x v="921"/>
    <x v="337"/>
    <x v="0"/>
    <s v="Odisha"/>
    <s v="Bhubaneswar"/>
    <x v="0"/>
    <s v="Chair"/>
    <s v="Chair"/>
    <x v="3"/>
    <x v="1"/>
    <n v="10"/>
    <n v="3866"/>
    <n v="0"/>
    <n v="38660"/>
    <n v="9748.0499999999993"/>
  </r>
  <r>
    <x v="922"/>
    <x v="123"/>
    <x v="0"/>
    <s v="West Bengal"/>
    <s v="Kolkata"/>
    <x v="2"/>
    <s v="Stapler"/>
    <s v="Stapler"/>
    <x v="5"/>
    <x v="0"/>
    <n v="3"/>
    <n v="47212"/>
    <n v="5"/>
    <n v="134554.20000000001"/>
    <n v="37932.26"/>
  </r>
  <r>
    <x v="923"/>
    <x v="127"/>
    <x v="1"/>
    <s v="Karnataka"/>
    <s v="Bengaluru"/>
    <x v="0"/>
    <s v="Desk"/>
    <s v="Desk"/>
    <x v="1"/>
    <x v="0"/>
    <n v="4"/>
    <n v="23397"/>
    <n v="0"/>
    <n v="93588"/>
    <n v="16706.810000000001"/>
  </r>
  <r>
    <x v="924"/>
    <x v="140"/>
    <x v="3"/>
    <s v="Maharashtra"/>
    <s v="Mumbai"/>
    <x v="2"/>
    <s v="Pen"/>
    <s v="Pen"/>
    <x v="0"/>
    <x v="1"/>
    <n v="6"/>
    <n v="13932"/>
    <n v="10"/>
    <n v="75232.800000000003"/>
    <n v="17313.34"/>
  </r>
  <r>
    <x v="925"/>
    <x v="150"/>
    <x v="2"/>
    <s v="Delhi"/>
    <s v="Delhi"/>
    <x v="2"/>
    <s v="Stapler"/>
    <s v="Stapler"/>
    <x v="7"/>
    <x v="0"/>
    <n v="9"/>
    <n v="24872"/>
    <n v="5"/>
    <n v="212655.6"/>
    <n v="36715.96"/>
  </r>
  <r>
    <x v="926"/>
    <x v="369"/>
    <x v="3"/>
    <s v="Gujarat"/>
    <s v="Ahmedabad"/>
    <x v="2"/>
    <s v="Notebook"/>
    <s v="Notebook"/>
    <x v="6"/>
    <x v="1"/>
    <n v="5"/>
    <n v="25876"/>
    <n v="5"/>
    <n v="122911"/>
    <n v="31154.68"/>
  </r>
  <r>
    <x v="927"/>
    <x v="55"/>
    <x v="2"/>
    <s v="Delhi"/>
    <s v="Delhi"/>
    <x v="1"/>
    <s v="Monitor"/>
    <s v="Monitor"/>
    <x v="6"/>
    <x v="0"/>
    <n v="5"/>
    <n v="46416"/>
    <n v="10"/>
    <n v="208872"/>
    <n v="39526.19"/>
  </r>
  <r>
    <x v="928"/>
    <x v="443"/>
    <x v="3"/>
    <s v="Maharashtra"/>
    <s v="Mumbai"/>
    <x v="1"/>
    <s v="Mobile"/>
    <s v="Mobile"/>
    <x v="1"/>
    <x v="1"/>
    <n v="5"/>
    <n v="8054"/>
    <n v="5"/>
    <n v="38256.5"/>
    <n v="9261.42"/>
  </r>
  <r>
    <x v="929"/>
    <x v="432"/>
    <x v="1"/>
    <s v="Karnataka"/>
    <s v="Bengaluru"/>
    <x v="1"/>
    <s v="Mobile"/>
    <s v="Mobile"/>
    <x v="4"/>
    <x v="0"/>
    <n v="6"/>
    <n v="4435"/>
    <n v="20"/>
    <n v="21288"/>
    <n v="3707.31"/>
  </r>
  <r>
    <x v="930"/>
    <x v="429"/>
    <x v="2"/>
    <s v="Delhi"/>
    <s v="Delhi"/>
    <x v="0"/>
    <s v="Desk"/>
    <s v="Desk"/>
    <x v="1"/>
    <x v="0"/>
    <n v="4"/>
    <n v="14542"/>
    <n v="10"/>
    <n v="52351.199999999997"/>
    <n v="13855.11"/>
  </r>
  <r>
    <x v="931"/>
    <x v="331"/>
    <x v="3"/>
    <s v="Maharashtra"/>
    <s v="Mumbai"/>
    <x v="0"/>
    <s v="Desk"/>
    <s v="Desk"/>
    <x v="0"/>
    <x v="0"/>
    <n v="3"/>
    <n v="43948"/>
    <n v="5"/>
    <n v="125251.8"/>
    <n v="9562.07"/>
  </r>
  <r>
    <x v="932"/>
    <x v="444"/>
    <x v="1"/>
    <s v="Tamil Nadu"/>
    <s v="Chennai"/>
    <x v="2"/>
    <s v="Printer Paper"/>
    <s v="Printer Paper"/>
    <x v="0"/>
    <x v="1"/>
    <n v="7"/>
    <n v="1124"/>
    <n v="15"/>
    <n v="6687.8"/>
    <n v="491.69"/>
  </r>
  <r>
    <x v="933"/>
    <x v="250"/>
    <x v="2"/>
    <s v="Chandigarh"/>
    <s v="Chandigarh"/>
    <x v="0"/>
    <s v="Chair"/>
    <s v="Chair"/>
    <x v="2"/>
    <x v="1"/>
    <n v="5"/>
    <n v="35113"/>
    <n v="10"/>
    <n v="158008.5"/>
    <n v="45437.24"/>
  </r>
  <r>
    <x v="934"/>
    <x v="150"/>
    <x v="2"/>
    <s v="Chandigarh"/>
    <s v="Chandigarh"/>
    <x v="1"/>
    <s v="Laptop"/>
    <s v="Laptop"/>
    <x v="3"/>
    <x v="1"/>
    <n v="3"/>
    <n v="22571"/>
    <n v="5"/>
    <n v="64327.35"/>
    <n v="18266.830000000002"/>
  </r>
  <r>
    <x v="935"/>
    <x v="327"/>
    <x v="2"/>
    <s v="Delhi"/>
    <s v="Delhi"/>
    <x v="1"/>
    <s v="Laptop"/>
    <s v="Laptop"/>
    <x v="7"/>
    <x v="1"/>
    <n v="10"/>
    <n v="41725"/>
    <n v="20"/>
    <n v="333800"/>
    <n v="80034.850000000006"/>
  </r>
  <r>
    <x v="936"/>
    <x v="46"/>
    <x v="0"/>
    <s v="West Bengal"/>
    <s v="Kolkata"/>
    <x v="0"/>
    <s v="Desk"/>
    <s v="Desk"/>
    <x v="1"/>
    <x v="1"/>
    <n v="8"/>
    <n v="49102"/>
    <n v="0"/>
    <n v="392816"/>
    <n v="45415.99"/>
  </r>
  <r>
    <x v="937"/>
    <x v="42"/>
    <x v="1"/>
    <s v="Karnataka"/>
    <s v="Bengaluru"/>
    <x v="2"/>
    <s v="Notebook"/>
    <s v="Notebook"/>
    <x v="6"/>
    <x v="0"/>
    <n v="5"/>
    <n v="36632"/>
    <n v="5"/>
    <n v="174002"/>
    <n v="35384.18"/>
  </r>
  <r>
    <x v="938"/>
    <x v="445"/>
    <x v="2"/>
    <s v="Chandigarh"/>
    <s v="Chandigarh"/>
    <x v="1"/>
    <s v="Keyboard"/>
    <s v="Keyboard"/>
    <x v="4"/>
    <x v="1"/>
    <n v="6"/>
    <n v="6435"/>
    <n v="5"/>
    <n v="36679.5"/>
    <n v="4609.29"/>
  </r>
  <r>
    <x v="939"/>
    <x v="402"/>
    <x v="0"/>
    <s v="West Bengal"/>
    <s v="Kolkata"/>
    <x v="2"/>
    <s v="Pen"/>
    <s v="Pen"/>
    <x v="4"/>
    <x v="1"/>
    <n v="1"/>
    <n v="23430"/>
    <n v="0"/>
    <n v="23430"/>
    <n v="6387.32"/>
  </r>
  <r>
    <x v="940"/>
    <x v="156"/>
    <x v="1"/>
    <s v="Tamil Nadu"/>
    <s v="Chennai"/>
    <x v="2"/>
    <s v="Notebook"/>
    <s v="Notebook"/>
    <x v="6"/>
    <x v="0"/>
    <n v="10"/>
    <n v="21134"/>
    <n v="5"/>
    <n v="200773"/>
    <n v="23229.54"/>
  </r>
  <r>
    <x v="941"/>
    <x v="446"/>
    <x v="1"/>
    <s v="Karnataka"/>
    <s v="Bengaluru"/>
    <x v="0"/>
    <s v="Chair"/>
    <s v="Chair"/>
    <x v="5"/>
    <x v="1"/>
    <n v="8"/>
    <n v="37391"/>
    <n v="5"/>
    <n v="284171.59999999998"/>
    <n v="68652.91"/>
  </r>
  <r>
    <x v="942"/>
    <x v="447"/>
    <x v="3"/>
    <s v="Maharashtra"/>
    <s v="Mumbai"/>
    <x v="1"/>
    <s v="Monitor"/>
    <s v="Monitor"/>
    <x v="2"/>
    <x v="0"/>
    <n v="2"/>
    <n v="11092"/>
    <n v="20"/>
    <n v="17747.2"/>
    <n v="4545.08"/>
  </r>
  <r>
    <x v="943"/>
    <x v="209"/>
    <x v="2"/>
    <s v="Delhi"/>
    <s v="Delhi"/>
    <x v="2"/>
    <s v="Notebook"/>
    <s v="Notebook"/>
    <x v="1"/>
    <x v="1"/>
    <n v="3"/>
    <n v="41651"/>
    <n v="5"/>
    <n v="118705.35"/>
    <n v="16420.11"/>
  </r>
  <r>
    <x v="944"/>
    <x v="180"/>
    <x v="2"/>
    <s v="Delhi"/>
    <s v="Delhi"/>
    <x v="0"/>
    <s v="Chair"/>
    <s v="Chair"/>
    <x v="5"/>
    <x v="1"/>
    <n v="8"/>
    <n v="20352"/>
    <n v="10"/>
    <n v="146534.39999999999"/>
    <n v="40232.230000000003"/>
  </r>
  <r>
    <x v="945"/>
    <x v="175"/>
    <x v="3"/>
    <s v="Gujarat"/>
    <s v="Ahmedabad"/>
    <x v="0"/>
    <s v="Table"/>
    <s v="Table"/>
    <x v="2"/>
    <x v="0"/>
    <n v="3"/>
    <n v="38197"/>
    <n v="0"/>
    <n v="114591"/>
    <n v="15979.34"/>
  </r>
  <r>
    <x v="946"/>
    <x v="281"/>
    <x v="1"/>
    <s v="Tamil Nadu"/>
    <s v="Chennai"/>
    <x v="2"/>
    <s v="Pen"/>
    <s v="Pen"/>
    <x v="5"/>
    <x v="1"/>
    <n v="6"/>
    <n v="6220"/>
    <n v="0"/>
    <n v="37320"/>
    <n v="3322.13"/>
  </r>
  <r>
    <x v="947"/>
    <x v="448"/>
    <x v="1"/>
    <s v="Karnataka"/>
    <s v="Bengaluru"/>
    <x v="1"/>
    <s v="Mobile"/>
    <s v="Mobile"/>
    <x v="7"/>
    <x v="0"/>
    <n v="10"/>
    <n v="1214"/>
    <n v="0"/>
    <n v="12140"/>
    <n v="2015.44"/>
  </r>
  <r>
    <x v="948"/>
    <x v="33"/>
    <x v="1"/>
    <s v="Karnataka"/>
    <s v="Bengaluru"/>
    <x v="0"/>
    <s v="Desk"/>
    <s v="Desk"/>
    <x v="5"/>
    <x v="1"/>
    <n v="7"/>
    <n v="8221"/>
    <n v="10"/>
    <n v="51792.3"/>
    <n v="15051.9"/>
  </r>
  <r>
    <x v="949"/>
    <x v="289"/>
    <x v="1"/>
    <s v="Tamil Nadu"/>
    <s v="Chennai"/>
    <x v="0"/>
    <s v="Desk"/>
    <s v="Desk"/>
    <x v="3"/>
    <x v="0"/>
    <n v="7"/>
    <n v="29626"/>
    <n v="15"/>
    <n v="176274.7"/>
    <n v="30418.89"/>
  </r>
  <r>
    <x v="950"/>
    <x v="383"/>
    <x v="1"/>
    <s v="Tamil Nadu"/>
    <s v="Chennai"/>
    <x v="0"/>
    <s v="Chair"/>
    <s v="Chair"/>
    <x v="1"/>
    <x v="0"/>
    <n v="3"/>
    <n v="16927"/>
    <n v="0"/>
    <n v="50781"/>
    <n v="4603.54"/>
  </r>
  <r>
    <x v="951"/>
    <x v="378"/>
    <x v="3"/>
    <s v="Maharashtra"/>
    <s v="Mumbai"/>
    <x v="1"/>
    <s v="Monitor"/>
    <s v="Monitor"/>
    <x v="0"/>
    <x v="1"/>
    <n v="10"/>
    <n v="29482"/>
    <n v="5"/>
    <n v="280079"/>
    <n v="47848.22"/>
  </r>
  <r>
    <x v="952"/>
    <x v="449"/>
    <x v="3"/>
    <s v="Maharashtra"/>
    <s v="Mumbai"/>
    <x v="1"/>
    <s v="Mobile"/>
    <s v="Mobile"/>
    <x v="4"/>
    <x v="0"/>
    <n v="4"/>
    <n v="23926"/>
    <n v="20"/>
    <n v="76563.199999999997"/>
    <n v="10963.3"/>
  </r>
  <r>
    <x v="953"/>
    <x v="347"/>
    <x v="2"/>
    <s v="Delhi"/>
    <s v="Delhi"/>
    <x v="2"/>
    <s v="Notebook"/>
    <s v="Notebook"/>
    <x v="0"/>
    <x v="0"/>
    <n v="10"/>
    <n v="34170"/>
    <n v="0"/>
    <n v="341700"/>
    <n v="84254.13"/>
  </r>
  <r>
    <x v="954"/>
    <x v="450"/>
    <x v="2"/>
    <s v="Chandigarh"/>
    <s v="Chandigarh"/>
    <x v="0"/>
    <s v="Chair"/>
    <s v="Chair"/>
    <x v="2"/>
    <x v="1"/>
    <n v="5"/>
    <n v="4036"/>
    <n v="0"/>
    <n v="20180"/>
    <n v="2087.79"/>
  </r>
  <r>
    <x v="955"/>
    <x v="169"/>
    <x v="3"/>
    <s v="Gujarat"/>
    <s v="Ahmedabad"/>
    <x v="1"/>
    <s v="Laptop"/>
    <s v="Laptop"/>
    <x v="7"/>
    <x v="0"/>
    <n v="1"/>
    <n v="37292"/>
    <n v="0"/>
    <n v="37292"/>
    <n v="8911.7000000000007"/>
  </r>
  <r>
    <x v="956"/>
    <x v="451"/>
    <x v="0"/>
    <s v="Odisha"/>
    <s v="Bhubaneswar"/>
    <x v="0"/>
    <s v="Table"/>
    <s v="Table"/>
    <x v="7"/>
    <x v="1"/>
    <n v="7"/>
    <n v="34403"/>
    <n v="0"/>
    <n v="240821"/>
    <n v="31822.25"/>
  </r>
  <r>
    <x v="957"/>
    <x v="254"/>
    <x v="0"/>
    <s v="West Bengal"/>
    <s v="Kolkata"/>
    <x v="1"/>
    <s v="Laptop"/>
    <s v="Laptop"/>
    <x v="0"/>
    <x v="1"/>
    <n v="1"/>
    <n v="28500"/>
    <n v="15"/>
    <n v="24225"/>
    <n v="5308.16"/>
  </r>
  <r>
    <x v="958"/>
    <x v="103"/>
    <x v="1"/>
    <s v="Tamil Nadu"/>
    <s v="Chennai"/>
    <x v="1"/>
    <s v="Keyboard"/>
    <s v="Keyboard"/>
    <x v="4"/>
    <x v="1"/>
    <n v="9"/>
    <n v="7426"/>
    <n v="15"/>
    <n v="56808.9"/>
    <n v="14423.52"/>
  </r>
  <r>
    <x v="959"/>
    <x v="43"/>
    <x v="3"/>
    <s v="Maharashtra"/>
    <s v="Mumbai"/>
    <x v="0"/>
    <s v="Sofa"/>
    <s v="Sofa"/>
    <x v="5"/>
    <x v="0"/>
    <n v="5"/>
    <n v="9561"/>
    <n v="15"/>
    <n v="40634.25"/>
    <n v="2931.8"/>
  </r>
  <r>
    <x v="960"/>
    <x v="452"/>
    <x v="2"/>
    <s v="Chandigarh"/>
    <s v="Chandigarh"/>
    <x v="1"/>
    <s v="Monitor"/>
    <s v="Monitor"/>
    <x v="0"/>
    <x v="1"/>
    <n v="5"/>
    <n v="13330"/>
    <n v="20"/>
    <n v="53320"/>
    <n v="6480.64"/>
  </r>
  <r>
    <x v="961"/>
    <x v="32"/>
    <x v="3"/>
    <s v="Gujarat"/>
    <s v="Ahmedabad"/>
    <x v="2"/>
    <s v="Notebook"/>
    <s v="Notebook"/>
    <x v="1"/>
    <x v="1"/>
    <n v="3"/>
    <n v="47743"/>
    <n v="20"/>
    <n v="114583.2"/>
    <n v="15404.06"/>
  </r>
  <r>
    <x v="962"/>
    <x v="437"/>
    <x v="0"/>
    <s v="West Bengal"/>
    <s v="Kolkata"/>
    <x v="2"/>
    <s v="Stapler"/>
    <s v="Stapler"/>
    <x v="5"/>
    <x v="0"/>
    <n v="10"/>
    <n v="211"/>
    <n v="10"/>
    <n v="1899"/>
    <n v="429.68"/>
  </r>
  <r>
    <x v="963"/>
    <x v="411"/>
    <x v="3"/>
    <s v="Gujarat"/>
    <s v="Ahmedabad"/>
    <x v="0"/>
    <s v="Chair"/>
    <s v="Chair"/>
    <x v="1"/>
    <x v="1"/>
    <n v="2"/>
    <n v="18605"/>
    <n v="0"/>
    <n v="37210"/>
    <n v="7647.75"/>
  </r>
  <r>
    <x v="964"/>
    <x v="408"/>
    <x v="0"/>
    <s v="Odisha"/>
    <s v="Bhubaneswar"/>
    <x v="1"/>
    <s v="Laptop"/>
    <s v="Laptop"/>
    <x v="1"/>
    <x v="0"/>
    <n v="8"/>
    <n v="22009"/>
    <n v="20"/>
    <n v="140857.60000000001"/>
    <n v="26001.24"/>
  </r>
  <r>
    <x v="965"/>
    <x v="286"/>
    <x v="0"/>
    <s v="West Bengal"/>
    <s v="Kolkata"/>
    <x v="1"/>
    <s v="Keyboard"/>
    <s v="Keyboard"/>
    <x v="1"/>
    <x v="1"/>
    <n v="9"/>
    <n v="387"/>
    <n v="0"/>
    <n v="3483"/>
    <n v="254.08"/>
  </r>
  <r>
    <x v="966"/>
    <x v="66"/>
    <x v="3"/>
    <s v="Maharashtra"/>
    <s v="Mumbai"/>
    <x v="2"/>
    <s v="Stapler"/>
    <s v="Stapler"/>
    <x v="3"/>
    <x v="1"/>
    <n v="9"/>
    <n v="30285"/>
    <n v="15"/>
    <n v="231680.25"/>
    <n v="68928.86"/>
  </r>
  <r>
    <x v="967"/>
    <x v="77"/>
    <x v="0"/>
    <s v="Odisha"/>
    <s v="Bhubaneswar"/>
    <x v="1"/>
    <s v="Mobile"/>
    <s v="Mobile"/>
    <x v="5"/>
    <x v="0"/>
    <n v="7"/>
    <n v="44794"/>
    <n v="10"/>
    <n v="282202.2"/>
    <n v="80750.7"/>
  </r>
  <r>
    <x v="968"/>
    <x v="453"/>
    <x v="1"/>
    <s v="Tamil Nadu"/>
    <s v="Chennai"/>
    <x v="2"/>
    <s v="Notebook"/>
    <s v="Notebook"/>
    <x v="7"/>
    <x v="0"/>
    <n v="4"/>
    <n v="6178"/>
    <n v="10"/>
    <n v="22240.799999999999"/>
    <n v="3499.25"/>
  </r>
  <r>
    <x v="969"/>
    <x v="404"/>
    <x v="1"/>
    <s v="Tamil Nadu"/>
    <s v="Chennai"/>
    <x v="1"/>
    <s v="Mobile"/>
    <s v="Mobile"/>
    <x v="1"/>
    <x v="1"/>
    <n v="4"/>
    <n v="12983"/>
    <n v="5"/>
    <n v="49335.4"/>
    <n v="6298.7"/>
  </r>
  <r>
    <x v="970"/>
    <x v="159"/>
    <x v="2"/>
    <s v="Delhi"/>
    <s v="Delhi"/>
    <x v="2"/>
    <s v="Printer Paper"/>
    <s v="Printer Paper"/>
    <x v="3"/>
    <x v="1"/>
    <n v="3"/>
    <n v="34253"/>
    <n v="10"/>
    <n v="92483.1"/>
    <n v="20194.419999999998"/>
  </r>
  <r>
    <x v="971"/>
    <x v="256"/>
    <x v="2"/>
    <s v="Chandigarh"/>
    <s v="Chandigarh"/>
    <x v="2"/>
    <s v="Notebook"/>
    <s v="Notebook"/>
    <x v="6"/>
    <x v="1"/>
    <n v="5"/>
    <n v="48706"/>
    <n v="5"/>
    <n v="231353.5"/>
    <n v="21185.47"/>
  </r>
  <r>
    <x v="972"/>
    <x v="427"/>
    <x v="2"/>
    <s v="Delhi"/>
    <s v="Delhi"/>
    <x v="2"/>
    <s v="Notebook"/>
    <s v="Notebook"/>
    <x v="3"/>
    <x v="0"/>
    <n v="8"/>
    <n v="17154"/>
    <n v="5"/>
    <n v="130370.4"/>
    <n v="35187.440000000002"/>
  </r>
  <r>
    <x v="973"/>
    <x v="234"/>
    <x v="1"/>
    <s v="Karnataka"/>
    <s v="Bengaluru"/>
    <x v="2"/>
    <s v="Printer Paper"/>
    <s v="Printer Paper"/>
    <x v="7"/>
    <x v="1"/>
    <n v="9"/>
    <n v="40665"/>
    <n v="20"/>
    <n v="292788"/>
    <n v="40789.25"/>
  </r>
  <r>
    <x v="974"/>
    <x v="237"/>
    <x v="2"/>
    <s v="Chandigarh"/>
    <s v="Chandigarh"/>
    <x v="1"/>
    <s v="Mobile"/>
    <s v="Mobile"/>
    <x v="3"/>
    <x v="0"/>
    <n v="9"/>
    <n v="10282"/>
    <n v="10"/>
    <n v="83284.2"/>
    <n v="22639.26"/>
  </r>
  <r>
    <x v="975"/>
    <x v="24"/>
    <x v="3"/>
    <s v="Maharashtra"/>
    <s v="Mumbai"/>
    <x v="1"/>
    <s v="Laptop"/>
    <s v="Laptop"/>
    <x v="2"/>
    <x v="1"/>
    <n v="9"/>
    <n v="46012"/>
    <n v="20"/>
    <n v="331286.40000000002"/>
    <n v="78832.13"/>
  </r>
  <r>
    <x v="976"/>
    <x v="454"/>
    <x v="0"/>
    <s v="West Bengal"/>
    <s v="Kolkata"/>
    <x v="0"/>
    <s v="Table"/>
    <s v="Table"/>
    <x v="7"/>
    <x v="0"/>
    <n v="8"/>
    <n v="10046"/>
    <n v="10"/>
    <n v="72331.199999999997"/>
    <n v="16261.62"/>
  </r>
  <r>
    <x v="977"/>
    <x v="455"/>
    <x v="0"/>
    <s v="Odisha"/>
    <s v="Bhubaneswar"/>
    <x v="1"/>
    <s v="Laptop"/>
    <s v="Laptop"/>
    <x v="4"/>
    <x v="1"/>
    <n v="7"/>
    <n v="15493"/>
    <n v="20"/>
    <n v="86760.8"/>
    <n v="18293.23"/>
  </r>
  <r>
    <x v="978"/>
    <x v="182"/>
    <x v="2"/>
    <s v="Chandigarh"/>
    <s v="Chandigarh"/>
    <x v="1"/>
    <s v="Laptop"/>
    <s v="Laptop"/>
    <x v="6"/>
    <x v="1"/>
    <n v="5"/>
    <n v="37201"/>
    <n v="5"/>
    <n v="176704.75"/>
    <n v="51472.77"/>
  </r>
  <r>
    <x v="979"/>
    <x v="416"/>
    <x v="0"/>
    <s v="Odisha"/>
    <s v="Bhubaneswar"/>
    <x v="1"/>
    <s v="Monitor"/>
    <s v="Monitor"/>
    <x v="6"/>
    <x v="1"/>
    <n v="2"/>
    <n v="39212"/>
    <n v="5"/>
    <n v="74502.8"/>
    <n v="14241.83"/>
  </r>
  <r>
    <x v="980"/>
    <x v="372"/>
    <x v="0"/>
    <s v="Odisha"/>
    <s v="Bhubaneswar"/>
    <x v="2"/>
    <s v="Stapler"/>
    <s v="Stapler"/>
    <x v="2"/>
    <x v="0"/>
    <n v="3"/>
    <n v="22306"/>
    <n v="5"/>
    <n v="63572.1"/>
    <n v="17738.28"/>
  </r>
  <r>
    <x v="981"/>
    <x v="352"/>
    <x v="0"/>
    <s v="Odisha"/>
    <s v="Bhubaneswar"/>
    <x v="2"/>
    <s v="Printer Paper"/>
    <s v="Printer Paper"/>
    <x v="1"/>
    <x v="1"/>
    <n v="1"/>
    <n v="28766"/>
    <n v="0"/>
    <n v="28766"/>
    <n v="1543.14"/>
  </r>
  <r>
    <x v="982"/>
    <x v="224"/>
    <x v="1"/>
    <s v="Tamil Nadu"/>
    <s v="Chennai"/>
    <x v="1"/>
    <s v="Keyboard"/>
    <s v="Keyboard"/>
    <x v="6"/>
    <x v="0"/>
    <n v="8"/>
    <n v="30992"/>
    <n v="5"/>
    <n v="235539.20000000001"/>
    <n v="40696.11"/>
  </r>
  <r>
    <x v="983"/>
    <x v="75"/>
    <x v="0"/>
    <s v="West Bengal"/>
    <s v="Kolkata"/>
    <x v="0"/>
    <s v="Sofa"/>
    <s v="Sofa"/>
    <x v="7"/>
    <x v="0"/>
    <n v="9"/>
    <n v="5993"/>
    <n v="20"/>
    <n v="43149.599999999999"/>
    <n v="7327.04"/>
  </r>
  <r>
    <x v="984"/>
    <x v="206"/>
    <x v="3"/>
    <s v="Maharashtra"/>
    <s v="Mumbai"/>
    <x v="1"/>
    <s v="Keyboard"/>
    <s v="Keyboard"/>
    <x v="2"/>
    <x v="0"/>
    <n v="10"/>
    <n v="22783"/>
    <n v="15"/>
    <n v="193655.5"/>
    <n v="19882.04"/>
  </r>
  <r>
    <x v="985"/>
    <x v="215"/>
    <x v="1"/>
    <s v="Tamil Nadu"/>
    <s v="Chennai"/>
    <x v="1"/>
    <s v="Monitor"/>
    <s v="Monitor"/>
    <x v="5"/>
    <x v="0"/>
    <n v="2"/>
    <n v="43120"/>
    <n v="5"/>
    <n v="81928"/>
    <n v="16696.740000000002"/>
  </r>
  <r>
    <x v="986"/>
    <x v="456"/>
    <x v="1"/>
    <s v="Karnataka"/>
    <s v="Bengaluru"/>
    <x v="1"/>
    <s v="Monitor"/>
    <s v="Monitor"/>
    <x v="1"/>
    <x v="0"/>
    <n v="3"/>
    <n v="28643"/>
    <n v="15"/>
    <n v="73039.649999999994"/>
    <n v="12096.39"/>
  </r>
  <r>
    <x v="987"/>
    <x v="324"/>
    <x v="2"/>
    <s v="Delhi"/>
    <s v="Delhi"/>
    <x v="1"/>
    <s v="Monitor"/>
    <s v="Monitor"/>
    <x v="7"/>
    <x v="1"/>
    <n v="10"/>
    <n v="22270"/>
    <n v="15"/>
    <n v="189295"/>
    <n v="17438.830000000002"/>
  </r>
  <r>
    <x v="988"/>
    <x v="457"/>
    <x v="3"/>
    <s v="Maharashtra"/>
    <s v="Mumbai"/>
    <x v="1"/>
    <s v="Mobile"/>
    <s v="Mobile"/>
    <x v="3"/>
    <x v="0"/>
    <n v="3"/>
    <n v="40387"/>
    <n v="15"/>
    <n v="102986.85"/>
    <n v="29586.880000000001"/>
  </r>
  <r>
    <x v="989"/>
    <x v="60"/>
    <x v="3"/>
    <s v="Maharashtra"/>
    <s v="Mumbai"/>
    <x v="0"/>
    <s v="Desk"/>
    <s v="Desk"/>
    <x v="4"/>
    <x v="0"/>
    <n v="4"/>
    <n v="16105"/>
    <n v="20"/>
    <n v="51536"/>
    <n v="9632.14"/>
  </r>
  <r>
    <x v="990"/>
    <x v="170"/>
    <x v="1"/>
    <s v="Tamil Nadu"/>
    <s v="Chennai"/>
    <x v="2"/>
    <s v="Notebook"/>
    <s v="Notebook"/>
    <x v="1"/>
    <x v="1"/>
    <n v="5"/>
    <n v="28591"/>
    <n v="5"/>
    <n v="135807.25"/>
    <n v="11815.97"/>
  </r>
  <r>
    <x v="991"/>
    <x v="458"/>
    <x v="1"/>
    <s v="Karnataka"/>
    <s v="Bengaluru"/>
    <x v="0"/>
    <s v="Desk"/>
    <s v="Desk"/>
    <x v="4"/>
    <x v="1"/>
    <n v="5"/>
    <n v="25820"/>
    <n v="15"/>
    <n v="109735"/>
    <n v="20126.72"/>
  </r>
  <r>
    <x v="992"/>
    <x v="61"/>
    <x v="1"/>
    <s v="Tamil Nadu"/>
    <s v="Chennai"/>
    <x v="0"/>
    <s v="Desk"/>
    <s v="Desk"/>
    <x v="2"/>
    <x v="1"/>
    <n v="3"/>
    <n v="34429"/>
    <n v="5"/>
    <n v="98122.65"/>
    <n v="11634.33"/>
  </r>
  <r>
    <x v="993"/>
    <x v="459"/>
    <x v="3"/>
    <s v="Gujarat"/>
    <s v="Ahmedabad"/>
    <x v="1"/>
    <s v="Mobile"/>
    <s v="Mobile"/>
    <x v="7"/>
    <x v="1"/>
    <n v="4"/>
    <n v="4113"/>
    <n v="0"/>
    <n v="16452"/>
    <n v="1445.95"/>
  </r>
  <r>
    <x v="994"/>
    <x v="301"/>
    <x v="2"/>
    <s v="Delhi"/>
    <s v="Delhi"/>
    <x v="1"/>
    <s v="Mobile"/>
    <s v="Mobile"/>
    <x v="0"/>
    <x v="1"/>
    <n v="7"/>
    <n v="42928"/>
    <n v="15"/>
    <n v="255421.6"/>
    <n v="56334.559999999998"/>
  </r>
  <r>
    <x v="995"/>
    <x v="442"/>
    <x v="2"/>
    <s v="Delhi"/>
    <s v="Delhi"/>
    <x v="2"/>
    <s v="Pen"/>
    <s v="Pen"/>
    <x v="2"/>
    <x v="1"/>
    <n v="6"/>
    <n v="5201"/>
    <n v="20"/>
    <n v="24964.799999999999"/>
    <n v="2373.62"/>
  </r>
  <r>
    <x v="996"/>
    <x v="43"/>
    <x v="2"/>
    <s v="Chandigarh"/>
    <s v="Chandigarh"/>
    <x v="0"/>
    <s v="Sofa"/>
    <s v="Sofa"/>
    <x v="2"/>
    <x v="1"/>
    <n v="10"/>
    <n v="4272"/>
    <n v="15"/>
    <n v="36312"/>
    <n v="10015.83"/>
  </r>
  <r>
    <x v="997"/>
    <x v="288"/>
    <x v="0"/>
    <s v="West Bengal"/>
    <s v="Kolkata"/>
    <x v="0"/>
    <s v="Chair"/>
    <s v="Chair"/>
    <x v="7"/>
    <x v="0"/>
    <n v="9"/>
    <n v="31916"/>
    <n v="10"/>
    <n v="258519.6"/>
    <n v="66821.289999999994"/>
  </r>
  <r>
    <x v="998"/>
    <x v="204"/>
    <x v="3"/>
    <s v="Gujarat"/>
    <s v="Ahmedabad"/>
    <x v="0"/>
    <s v="Sofa"/>
    <s v="Sofa"/>
    <x v="3"/>
    <x v="1"/>
    <n v="4"/>
    <n v="10277"/>
    <n v="20"/>
    <n v="32886.400000000001"/>
    <n v="8366.16"/>
  </r>
  <r>
    <x v="999"/>
    <x v="240"/>
    <x v="0"/>
    <s v="Odisha"/>
    <s v="Bhubaneswar"/>
    <x v="0"/>
    <s v="Table"/>
    <s v="Table"/>
    <x v="1"/>
    <x v="1"/>
    <n v="10"/>
    <n v="3194"/>
    <n v="20"/>
    <n v="25552"/>
    <n v="6487.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01"/>
    <s v="2026-03-14"/>
    <x v="0"/>
    <x v="0"/>
    <s v="West Bengal"/>
    <s v="Kolkata"/>
    <x v="0"/>
    <s v="Desk"/>
    <s v="Desk"/>
    <s v="John"/>
    <s v="Retail"/>
    <n v="5"/>
    <n v="13522"/>
    <n v="20"/>
    <n v="54088"/>
    <n v="16143.42"/>
  </r>
  <r>
    <s v="ORD00002"/>
    <s v="2026-06-22"/>
    <x v="1"/>
    <x v="0"/>
    <s v="Odisha"/>
    <s v="Bhubaneswar"/>
    <x v="1"/>
    <s v="Keyboard"/>
    <s v="Keyboard"/>
    <s v="Priya"/>
    <s v="Corporate"/>
    <n v="1"/>
    <n v="20264"/>
    <n v="10"/>
    <n v="18237.599999999999"/>
    <n v="2102.85"/>
  </r>
  <r>
    <s v="ORD00003"/>
    <s v="2026-04-28"/>
    <x v="2"/>
    <x v="1"/>
    <s v="Tamil Nadu"/>
    <s v="Chennai"/>
    <x v="2"/>
    <s v="Notebook"/>
    <s v="Notebook"/>
    <s v="Arun"/>
    <s v="Corporate"/>
    <n v="8"/>
    <n v="41480"/>
    <n v="15"/>
    <n v="282064"/>
    <n v="58609.78"/>
  </r>
  <r>
    <s v="ORD00004"/>
    <s v="2025-03-04"/>
    <x v="0"/>
    <x v="1"/>
    <s v="Karnataka"/>
    <s v="Bengaluru"/>
    <x v="0"/>
    <s v="Chair"/>
    <s v="Chair"/>
    <s v="Vicky"/>
    <s v="Corporate"/>
    <n v="5"/>
    <n v="10025"/>
    <n v="0"/>
    <n v="50125"/>
    <n v="13472.28"/>
  </r>
  <r>
    <s v="ORD00005"/>
    <s v="2025-06-03"/>
    <x v="1"/>
    <x v="0"/>
    <s v="West Bengal"/>
    <s v="Kolkata"/>
    <x v="1"/>
    <s v="Monitor"/>
    <s v="Monitor"/>
    <s v="Meena"/>
    <s v="Retail"/>
    <n v="7"/>
    <n v="45689"/>
    <n v="10"/>
    <n v="287840.7"/>
    <n v="62002.3"/>
  </r>
  <r>
    <s v="ORD00006"/>
    <s v="2025-03-13"/>
    <x v="0"/>
    <x v="2"/>
    <s v="Chandigarh"/>
    <s v="Chandigarh"/>
    <x v="2"/>
    <s v="Stapler"/>
    <s v="Stapler"/>
    <s v="Priya"/>
    <s v="Corporate"/>
    <n v="3"/>
    <n v="29946"/>
    <n v="20"/>
    <n v="71870.399999999994"/>
    <n v="19526.98"/>
  </r>
  <r>
    <s v="ORD00007"/>
    <s v="2025-03-17"/>
    <x v="0"/>
    <x v="1"/>
    <s v="Tamil Nadu"/>
    <s v="Chennai"/>
    <x v="1"/>
    <s v="Keyboard"/>
    <s v="Keyboard"/>
    <s v="Meena"/>
    <s v="Corporate"/>
    <n v="9"/>
    <n v="6202"/>
    <n v="5"/>
    <n v="53027.1"/>
    <n v="7495.55"/>
  </r>
  <r>
    <s v="ORD00008"/>
    <s v="2025-12-03"/>
    <x v="3"/>
    <x v="3"/>
    <s v="Maharashtra"/>
    <s v="Mumbai"/>
    <x v="0"/>
    <s v="Table"/>
    <s v="Table"/>
    <s v="Priya"/>
    <s v="Retail"/>
    <n v="10"/>
    <n v="9645"/>
    <n v="5"/>
    <n v="91627.5"/>
    <n v="8113.11"/>
  </r>
  <r>
    <s v="ORD00009"/>
    <s v="2026-01-15"/>
    <x v="4"/>
    <x v="2"/>
    <s v="Chandigarh"/>
    <s v="Chandigarh"/>
    <x v="0"/>
    <s v="Table"/>
    <s v="Table"/>
    <s v="Meena"/>
    <s v="Corporate"/>
    <n v="9"/>
    <n v="19370"/>
    <n v="15"/>
    <n v="148180.5"/>
    <n v="25791.25"/>
  </r>
  <r>
    <s v="ORD00010"/>
    <s v="2026-04-13"/>
    <x v="2"/>
    <x v="1"/>
    <s v="Tamil Nadu"/>
    <s v="Chennai"/>
    <x v="1"/>
    <s v="Keyboard"/>
    <s v="Keyboard"/>
    <s v="Arun"/>
    <s v="Retail"/>
    <n v="2"/>
    <n v="10526"/>
    <n v="5"/>
    <n v="19999.400000000001"/>
    <n v="4346.72"/>
  </r>
  <r>
    <s v="ORD00011"/>
    <s v="2025-07-02"/>
    <x v="5"/>
    <x v="0"/>
    <s v="West Bengal"/>
    <s v="Kolkata"/>
    <x v="1"/>
    <s v="Mobile"/>
    <s v="Mobile"/>
    <s v="Sneha"/>
    <s v="Retail"/>
    <n v="1"/>
    <n v="45026"/>
    <n v="15"/>
    <n v="38272.1"/>
    <n v="2364.58"/>
  </r>
  <r>
    <s v="ORD00012"/>
    <s v="2025-05-17"/>
    <x v="6"/>
    <x v="0"/>
    <s v="West Bengal"/>
    <s v="Kolkata"/>
    <x v="2"/>
    <s v="Printer Paper"/>
    <s v="Printer Paper"/>
    <s v="Sneha"/>
    <s v="Corporate"/>
    <n v="3"/>
    <n v="3772"/>
    <n v="20"/>
    <n v="9052.7999999999993"/>
    <n v="516.09"/>
  </r>
  <r>
    <s v="ORD00013"/>
    <s v="2025-11-16"/>
    <x v="7"/>
    <x v="0"/>
    <s v="Odisha"/>
    <s v="Bhubaneswar"/>
    <x v="0"/>
    <s v="Table"/>
    <s v="Table"/>
    <s v="Sneha"/>
    <s v="Corporate"/>
    <n v="6"/>
    <n v="15547"/>
    <n v="20"/>
    <n v="74625.600000000006"/>
    <n v="17825.400000000001"/>
  </r>
  <r>
    <s v="ORD00014"/>
    <s v="2025-08-20"/>
    <x v="8"/>
    <x v="1"/>
    <s v="Tamil Nadu"/>
    <s v="Chennai"/>
    <x v="2"/>
    <s v="Stapler"/>
    <s v="Stapler"/>
    <s v="Arun"/>
    <s v="Retail"/>
    <n v="10"/>
    <n v="49801"/>
    <n v="10"/>
    <n v="448209"/>
    <n v="24558.39"/>
  </r>
  <r>
    <s v="ORD00015"/>
    <s v="2026-02-12"/>
    <x v="9"/>
    <x v="2"/>
    <s v="Chandigarh"/>
    <s v="Chandigarh"/>
    <x v="0"/>
    <s v="Sofa"/>
    <s v="Sofa"/>
    <s v="John"/>
    <s v="Corporate"/>
    <n v="9"/>
    <n v="5998"/>
    <n v="0"/>
    <n v="53982"/>
    <n v="9859.89"/>
  </r>
  <r>
    <s v="ORD00016"/>
    <s v="2025-02-19"/>
    <x v="9"/>
    <x v="3"/>
    <s v="Gujarat"/>
    <s v="Ahmedabad"/>
    <x v="0"/>
    <s v="Chair"/>
    <s v="Chair"/>
    <s v="Priya"/>
    <s v="Corporate"/>
    <n v="4"/>
    <n v="23832"/>
    <n v="5"/>
    <n v="90561.600000000006"/>
    <n v="20982.720000000001"/>
  </r>
  <r>
    <s v="ORD00017"/>
    <s v="2025-09-04"/>
    <x v="10"/>
    <x v="0"/>
    <s v="Odisha"/>
    <s v="Bhubaneswar"/>
    <x v="2"/>
    <s v="Notebook"/>
    <s v="Notebook"/>
    <s v="Vicky"/>
    <s v="Retail"/>
    <n v="5"/>
    <n v="36646"/>
    <n v="15"/>
    <n v="155745.5"/>
    <n v="25189.03"/>
  </r>
  <r>
    <s v="ORD00018"/>
    <s v="2025-10-14"/>
    <x v="11"/>
    <x v="3"/>
    <s v="Gujarat"/>
    <s v="Ahmedabad"/>
    <x v="2"/>
    <s v="Printer Paper"/>
    <s v="Printer Paper"/>
    <s v="Arun"/>
    <s v="Retail"/>
    <n v="4"/>
    <n v="8037"/>
    <n v="15"/>
    <n v="27325.8"/>
    <n v="2472.23"/>
  </r>
  <r>
    <s v="ORD00019"/>
    <s v="2025-08-23"/>
    <x v="8"/>
    <x v="0"/>
    <s v="West Bengal"/>
    <s v="Kolkata"/>
    <x v="0"/>
    <s v="Desk"/>
    <s v="Desk"/>
    <s v="Amit"/>
    <s v="Retail"/>
    <n v="4"/>
    <n v="38957"/>
    <n v="20"/>
    <n v="124662.39999999999"/>
    <n v="35285.79"/>
  </r>
  <r>
    <s v="ORD00020"/>
    <s v="2025-11-09"/>
    <x v="7"/>
    <x v="3"/>
    <s v="Maharashtra"/>
    <s v="Mumbai"/>
    <x v="2"/>
    <s v="Stapler"/>
    <s v="Stapler"/>
    <s v="Rahul"/>
    <s v="Corporate"/>
    <n v="5"/>
    <n v="48927"/>
    <n v="15"/>
    <n v="207939.75"/>
    <n v="13285.96"/>
  </r>
  <r>
    <s v="ORD00021"/>
    <s v="2025-03-08"/>
    <x v="0"/>
    <x v="1"/>
    <s v="Karnataka"/>
    <s v="Bengaluru"/>
    <x v="1"/>
    <s v="Mobile"/>
    <s v="Mobile"/>
    <s v="Meena"/>
    <s v="Corporate"/>
    <n v="7"/>
    <n v="14880"/>
    <n v="20"/>
    <n v="83328"/>
    <n v="24569.3"/>
  </r>
  <r>
    <s v="ORD00022"/>
    <s v="2025-02-07"/>
    <x v="9"/>
    <x v="2"/>
    <s v="Delhi"/>
    <s v="Delhi"/>
    <x v="1"/>
    <s v="Keyboard"/>
    <s v="Keyboard"/>
    <s v="Priya"/>
    <s v="Retail"/>
    <n v="7"/>
    <n v="46371"/>
    <n v="20"/>
    <n v="259677.6"/>
    <n v="33296.39"/>
  </r>
  <r>
    <s v="ORD00023"/>
    <s v="2025-01-27"/>
    <x v="4"/>
    <x v="1"/>
    <s v="Karnataka"/>
    <s v="Bengaluru"/>
    <x v="0"/>
    <s v="Table"/>
    <s v="Table"/>
    <s v="Sneha"/>
    <s v="Retail"/>
    <n v="4"/>
    <n v="23551"/>
    <n v="20"/>
    <n v="75363.199999999997"/>
    <n v="19970.16"/>
  </r>
  <r>
    <s v="ORD00024"/>
    <s v="2026-03-23"/>
    <x v="0"/>
    <x v="1"/>
    <s v="Karnataka"/>
    <s v="Bengaluru"/>
    <x v="0"/>
    <s v="Sofa"/>
    <s v="Sofa"/>
    <s v="Arun"/>
    <s v="Corporate"/>
    <n v="5"/>
    <n v="48652"/>
    <n v="5"/>
    <n v="231097"/>
    <n v="12300.41"/>
  </r>
  <r>
    <s v="ORD00025"/>
    <s v="2025-03-19"/>
    <x v="0"/>
    <x v="0"/>
    <s v="Odisha"/>
    <s v="Bhubaneswar"/>
    <x v="2"/>
    <s v="Stapler"/>
    <s v="Stapler"/>
    <s v="John"/>
    <s v="Retail"/>
    <n v="8"/>
    <n v="27081"/>
    <n v="10"/>
    <n v="194983.2"/>
    <n v="10347.209999999999"/>
  </r>
  <r>
    <s v="ORD00026"/>
    <s v="2025-12-23"/>
    <x v="3"/>
    <x v="2"/>
    <s v="Delhi"/>
    <s v="Delhi"/>
    <x v="1"/>
    <s v="Laptop"/>
    <s v="Laptop"/>
    <s v="John"/>
    <s v="Retail"/>
    <n v="1"/>
    <n v="47593"/>
    <n v="0"/>
    <n v="47593"/>
    <n v="10682.82"/>
  </r>
  <r>
    <s v="ORD00027"/>
    <s v="2025-12-28"/>
    <x v="3"/>
    <x v="0"/>
    <s v="Odisha"/>
    <s v="Bhubaneswar"/>
    <x v="2"/>
    <s v="Notebook"/>
    <s v="Notebook"/>
    <s v="Rahul"/>
    <s v="Corporate"/>
    <n v="9"/>
    <n v="3206"/>
    <n v="10"/>
    <n v="25968.6"/>
    <n v="2071.77"/>
  </r>
  <r>
    <s v="ORD00028"/>
    <s v="2025-09-08"/>
    <x v="10"/>
    <x v="0"/>
    <s v="Odisha"/>
    <s v="Bhubaneswar"/>
    <x v="0"/>
    <s v="Table"/>
    <s v="Table"/>
    <s v="Meena"/>
    <s v="Corporate"/>
    <n v="10"/>
    <n v="8240"/>
    <n v="10"/>
    <n v="74160"/>
    <n v="19548.72"/>
  </r>
  <r>
    <s v="ORD00029"/>
    <s v="2026-02-06"/>
    <x v="9"/>
    <x v="3"/>
    <s v="Gujarat"/>
    <s v="Ahmedabad"/>
    <x v="2"/>
    <s v="Pen"/>
    <s v="Pen"/>
    <s v="Arun"/>
    <s v="Retail"/>
    <n v="3"/>
    <n v="46763"/>
    <n v="10"/>
    <n v="126260.1"/>
    <n v="16446.939999999999"/>
  </r>
  <r>
    <s v="ORD00030"/>
    <s v="2026-05-16"/>
    <x v="6"/>
    <x v="1"/>
    <s v="Karnataka"/>
    <s v="Bengaluru"/>
    <x v="1"/>
    <s v="Monitor"/>
    <s v="Monitor"/>
    <s v="Amit"/>
    <s v="Retail"/>
    <n v="3"/>
    <n v="12521"/>
    <n v="20"/>
    <n v="30050.400000000001"/>
    <n v="6938.89"/>
  </r>
  <r>
    <s v="ORD00031"/>
    <s v="2025-11-10"/>
    <x v="7"/>
    <x v="2"/>
    <s v="Chandigarh"/>
    <s v="Chandigarh"/>
    <x v="2"/>
    <s v="Pen"/>
    <s v="Pen"/>
    <s v="Arun"/>
    <s v="Corporate"/>
    <n v="9"/>
    <n v="28366"/>
    <n v="5"/>
    <n v="242529.3"/>
    <n v="22643.39"/>
  </r>
  <r>
    <s v="ORD00032"/>
    <s v="2026-02-07"/>
    <x v="9"/>
    <x v="3"/>
    <s v="Gujarat"/>
    <s v="Ahmedabad"/>
    <x v="2"/>
    <s v="Pen"/>
    <s v="Pen"/>
    <s v="Meena"/>
    <s v="Corporate"/>
    <n v="1"/>
    <n v="1739"/>
    <n v="10"/>
    <n v="1565.1"/>
    <n v="376.59"/>
  </r>
  <r>
    <s v="ORD00033"/>
    <s v="2025-03-27"/>
    <x v="0"/>
    <x v="3"/>
    <s v="Gujarat"/>
    <s v="Ahmedabad"/>
    <x v="1"/>
    <s v="Keyboard"/>
    <s v="Keyboard"/>
    <s v="John"/>
    <s v="Retail"/>
    <n v="8"/>
    <n v="31189"/>
    <n v="5"/>
    <n v="237036.4"/>
    <n v="52120.56"/>
  </r>
  <r>
    <s v="ORD00034"/>
    <s v="2026-03-23"/>
    <x v="0"/>
    <x v="0"/>
    <s v="Odisha"/>
    <s v="Bhubaneswar"/>
    <x v="1"/>
    <s v="Laptop"/>
    <s v="Laptop"/>
    <s v="Vicky"/>
    <s v="Retail"/>
    <n v="7"/>
    <n v="42270"/>
    <n v="5"/>
    <n v="281095.5"/>
    <n v="26307.5"/>
  </r>
  <r>
    <s v="ORD00035"/>
    <s v="2026-01-05"/>
    <x v="4"/>
    <x v="2"/>
    <s v="Delhi"/>
    <s v="Delhi"/>
    <x v="2"/>
    <s v="Stapler"/>
    <s v="Stapler"/>
    <s v="Priya"/>
    <s v="Retail"/>
    <n v="4"/>
    <n v="11901"/>
    <n v="15"/>
    <n v="40463.4"/>
    <n v="3018.6"/>
  </r>
  <r>
    <s v="ORD00036"/>
    <s v="2026-05-05"/>
    <x v="6"/>
    <x v="1"/>
    <s v="Tamil Nadu"/>
    <s v="Chennai"/>
    <x v="2"/>
    <s v="Stapler"/>
    <s v="Stapler"/>
    <s v="Meena"/>
    <s v="Corporate"/>
    <n v="4"/>
    <n v="43229"/>
    <n v="20"/>
    <n v="138332.79999999999"/>
    <n v="25459.99"/>
  </r>
  <r>
    <s v="ORD00037"/>
    <s v="2026-06-08"/>
    <x v="1"/>
    <x v="2"/>
    <s v="Delhi"/>
    <s v="Delhi"/>
    <x v="0"/>
    <s v="Table"/>
    <s v="Table"/>
    <s v="Priya"/>
    <s v="Corporate"/>
    <n v="8"/>
    <n v="42043"/>
    <n v="10"/>
    <n v="302709.59999999998"/>
    <n v="77880.509999999995"/>
  </r>
  <r>
    <s v="ORD00038"/>
    <s v="2026-01-01"/>
    <x v="4"/>
    <x v="1"/>
    <s v="Tamil Nadu"/>
    <s v="Chennai"/>
    <x v="2"/>
    <s v="Pen"/>
    <s v="Pen"/>
    <s v="Rahul"/>
    <s v="Corporate"/>
    <n v="7"/>
    <n v="2360"/>
    <n v="15"/>
    <n v="14042"/>
    <n v="780.95"/>
  </r>
  <r>
    <s v="ORD00039"/>
    <s v="2025-01-19"/>
    <x v="4"/>
    <x v="0"/>
    <s v="Odisha"/>
    <s v="Bhubaneswar"/>
    <x v="1"/>
    <s v="Monitor"/>
    <s v="Monitor"/>
    <s v="Meena"/>
    <s v="Corporate"/>
    <n v="10"/>
    <n v="18452"/>
    <n v="20"/>
    <n v="147616"/>
    <n v="7947.81"/>
  </r>
  <r>
    <s v="ORD00040"/>
    <s v="2025-04-11"/>
    <x v="2"/>
    <x v="1"/>
    <s v="Tamil Nadu"/>
    <s v="Chennai"/>
    <x v="1"/>
    <s v="Laptop"/>
    <s v="Laptop"/>
    <s v="Rahul"/>
    <s v="Corporate"/>
    <n v="3"/>
    <n v="34769"/>
    <n v="10"/>
    <n v="93876.3"/>
    <n v="18997.04"/>
  </r>
  <r>
    <s v="ORD00041"/>
    <s v="2025-12-20"/>
    <x v="3"/>
    <x v="2"/>
    <s v="Delhi"/>
    <s v="Delhi"/>
    <x v="2"/>
    <s v="Pen"/>
    <s v="Pen"/>
    <s v="Meena"/>
    <s v="Corporate"/>
    <n v="5"/>
    <n v="33532"/>
    <n v="0"/>
    <n v="167660"/>
    <n v="45857.71"/>
  </r>
  <r>
    <s v="ORD00042"/>
    <s v="2025-05-23"/>
    <x v="6"/>
    <x v="2"/>
    <s v="Chandigarh"/>
    <s v="Chandigarh"/>
    <x v="0"/>
    <s v="Chair"/>
    <s v="Chair"/>
    <s v="Amit"/>
    <s v="Corporate"/>
    <n v="4"/>
    <n v="48531"/>
    <n v="5"/>
    <n v="184417.8"/>
    <n v="38788.660000000003"/>
  </r>
  <r>
    <s v="ORD00043"/>
    <s v="2025-09-25"/>
    <x v="10"/>
    <x v="2"/>
    <s v="Chandigarh"/>
    <s v="Chandigarh"/>
    <x v="2"/>
    <s v="Pen"/>
    <s v="Pen"/>
    <s v="Meena"/>
    <s v="Retail"/>
    <n v="2"/>
    <n v="40674"/>
    <n v="0"/>
    <n v="81348"/>
    <n v="12627.58"/>
  </r>
  <r>
    <s v="ORD00044"/>
    <s v="2025-04-11"/>
    <x v="2"/>
    <x v="0"/>
    <s v="West Bengal"/>
    <s v="Kolkata"/>
    <x v="1"/>
    <s v="Laptop"/>
    <s v="Laptop"/>
    <s v="Priya"/>
    <s v="Retail"/>
    <n v="6"/>
    <n v="3754"/>
    <n v="0"/>
    <n v="22524"/>
    <n v="1433.94"/>
  </r>
  <r>
    <s v="ORD00045"/>
    <s v="2026-03-17"/>
    <x v="0"/>
    <x v="0"/>
    <s v="Odisha"/>
    <s v="Bhubaneswar"/>
    <x v="1"/>
    <s v="Laptop"/>
    <s v="Laptop"/>
    <s v="John"/>
    <s v="Corporate"/>
    <n v="3"/>
    <n v="6847"/>
    <n v="20"/>
    <n v="16432.8"/>
    <n v="3247.7"/>
  </r>
  <r>
    <s v="ORD00046"/>
    <s v="2026-02-09"/>
    <x v="9"/>
    <x v="3"/>
    <s v="Maharashtra"/>
    <s v="Mumbai"/>
    <x v="2"/>
    <s v="Pen"/>
    <s v="Pen"/>
    <s v="Rahul"/>
    <s v="Retail"/>
    <n v="10"/>
    <n v="2029"/>
    <n v="0"/>
    <n v="20290"/>
    <n v="1588.73"/>
  </r>
  <r>
    <s v="ORD00047"/>
    <s v="2025-02-04"/>
    <x v="9"/>
    <x v="3"/>
    <s v="Gujarat"/>
    <s v="Ahmedabad"/>
    <x v="2"/>
    <s v="Stapler"/>
    <s v="Stapler"/>
    <s v="Sneha"/>
    <s v="Retail"/>
    <n v="9"/>
    <n v="26964"/>
    <n v="15"/>
    <n v="206274.6"/>
    <n v="60126.65"/>
  </r>
  <r>
    <s v="ORD00048"/>
    <s v="2025-04-03"/>
    <x v="2"/>
    <x v="3"/>
    <s v="Gujarat"/>
    <s v="Ahmedabad"/>
    <x v="2"/>
    <s v="Stapler"/>
    <s v="Stapler"/>
    <s v="Vicky"/>
    <s v="Retail"/>
    <n v="5"/>
    <n v="38965"/>
    <n v="0"/>
    <n v="194825"/>
    <n v="47770.21"/>
  </r>
  <r>
    <s v="ORD00049"/>
    <s v="2025-12-29"/>
    <x v="3"/>
    <x v="1"/>
    <s v="Karnataka"/>
    <s v="Bengaluru"/>
    <x v="1"/>
    <s v="Laptop"/>
    <s v="Laptop"/>
    <s v="Sneha"/>
    <s v="Retail"/>
    <n v="7"/>
    <n v="13132"/>
    <n v="0"/>
    <n v="91924"/>
    <n v="24922.59"/>
  </r>
  <r>
    <s v="ORD00050"/>
    <s v="2026-04-23"/>
    <x v="2"/>
    <x v="0"/>
    <s v="Odisha"/>
    <s v="Bhubaneswar"/>
    <x v="0"/>
    <s v="Chair"/>
    <s v="Chair"/>
    <s v="Sneha"/>
    <s v="Retail"/>
    <n v="10"/>
    <n v="20344"/>
    <n v="0"/>
    <n v="203440"/>
    <n v="49381.87"/>
  </r>
  <r>
    <s v="ORD00051"/>
    <s v="2025-11-20"/>
    <x v="7"/>
    <x v="1"/>
    <s v="Karnataka"/>
    <s v="Bengaluru"/>
    <x v="0"/>
    <s v="Chair"/>
    <s v="Chair"/>
    <s v="Arun"/>
    <s v="Corporate"/>
    <n v="1"/>
    <n v="23291"/>
    <n v="10"/>
    <n v="20961.900000000001"/>
    <n v="2407.2199999999998"/>
  </r>
  <r>
    <s v="ORD00052"/>
    <s v="2025-09-05"/>
    <x v="10"/>
    <x v="1"/>
    <s v="Karnataka"/>
    <s v="Bengaluru"/>
    <x v="2"/>
    <s v="Pen"/>
    <s v="Pen"/>
    <s v="Arun"/>
    <s v="Retail"/>
    <n v="6"/>
    <n v="20087"/>
    <n v="10"/>
    <n v="108469.8"/>
    <n v="22305.84"/>
  </r>
  <r>
    <s v="ORD00053"/>
    <s v="2025-08-28"/>
    <x v="8"/>
    <x v="2"/>
    <s v="Chandigarh"/>
    <s v="Chandigarh"/>
    <x v="2"/>
    <s v="Pen"/>
    <s v="Pen"/>
    <s v="Sneha"/>
    <s v="Corporate"/>
    <n v="10"/>
    <n v="19029"/>
    <n v="15"/>
    <n v="161746.5"/>
    <n v="22374.79"/>
  </r>
  <r>
    <s v="ORD00054"/>
    <s v="2026-03-28"/>
    <x v="0"/>
    <x v="1"/>
    <s v="Tamil Nadu"/>
    <s v="Chennai"/>
    <x v="0"/>
    <s v="Table"/>
    <s v="Table"/>
    <s v="Amit"/>
    <s v="Retail"/>
    <n v="3"/>
    <n v="35973"/>
    <n v="0"/>
    <n v="107919"/>
    <n v="20849.080000000002"/>
  </r>
  <r>
    <s v="ORD00055"/>
    <s v="2026-03-29"/>
    <x v="0"/>
    <x v="1"/>
    <s v="Tamil Nadu"/>
    <s v="Chennai"/>
    <x v="0"/>
    <s v="Desk"/>
    <s v="Desk"/>
    <s v="Amit"/>
    <s v="Corporate"/>
    <n v="6"/>
    <n v="33954"/>
    <n v="0"/>
    <n v="203724"/>
    <n v="28133.85"/>
  </r>
  <r>
    <s v="ORD00056"/>
    <s v="2025-03-04"/>
    <x v="0"/>
    <x v="2"/>
    <s v="Delhi"/>
    <s v="Delhi"/>
    <x v="2"/>
    <s v="Notebook"/>
    <s v="Notebook"/>
    <s v="Rahul"/>
    <s v="Corporate"/>
    <n v="4"/>
    <n v="3214"/>
    <n v="15"/>
    <n v="10927.6"/>
    <n v="1866.54"/>
  </r>
  <r>
    <s v="ORD00057"/>
    <s v="2025-10-18"/>
    <x v="11"/>
    <x v="2"/>
    <s v="Chandigarh"/>
    <s v="Chandigarh"/>
    <x v="2"/>
    <s v="Stapler"/>
    <s v="Stapler"/>
    <s v="Vicky"/>
    <s v="Corporate"/>
    <n v="5"/>
    <n v="11499"/>
    <n v="20"/>
    <n v="45996"/>
    <n v="12032.41"/>
  </r>
  <r>
    <s v="ORD00058"/>
    <s v="2025-02-24"/>
    <x v="9"/>
    <x v="0"/>
    <s v="Odisha"/>
    <s v="Bhubaneswar"/>
    <x v="0"/>
    <s v="Chair"/>
    <s v="Chair"/>
    <s v="Rahul"/>
    <s v="Retail"/>
    <n v="2"/>
    <n v="22173"/>
    <n v="0"/>
    <n v="44346"/>
    <n v="8066.34"/>
  </r>
  <r>
    <s v="ORD00059"/>
    <s v="2025-10-20"/>
    <x v="11"/>
    <x v="1"/>
    <s v="Karnataka"/>
    <s v="Bengaluru"/>
    <x v="0"/>
    <s v="Sofa"/>
    <s v="Sofa"/>
    <s v="Amit"/>
    <s v="Retail"/>
    <n v="3"/>
    <n v="450"/>
    <n v="15"/>
    <n v="1147.5"/>
    <n v="272.89"/>
  </r>
  <r>
    <s v="ORD00060"/>
    <s v="2025-04-13"/>
    <x v="2"/>
    <x v="3"/>
    <s v="Gujarat"/>
    <s v="Ahmedabad"/>
    <x v="0"/>
    <s v="Desk"/>
    <s v="Desk"/>
    <s v="Rahul"/>
    <s v="Retail"/>
    <n v="1"/>
    <n v="6459"/>
    <n v="5"/>
    <n v="6136.05"/>
    <n v="714.26"/>
  </r>
  <r>
    <s v="ORD00061"/>
    <s v="2025-02-11"/>
    <x v="9"/>
    <x v="1"/>
    <s v="Tamil Nadu"/>
    <s v="Chennai"/>
    <x v="2"/>
    <s v="Printer Paper"/>
    <s v="Printer Paper"/>
    <s v="John"/>
    <s v="Retail"/>
    <n v="6"/>
    <n v="29966"/>
    <n v="15"/>
    <n v="152826.6"/>
    <n v="22861.39"/>
  </r>
  <r>
    <s v="ORD00062"/>
    <s v="2025-03-09"/>
    <x v="0"/>
    <x v="0"/>
    <s v="West Bengal"/>
    <s v="Kolkata"/>
    <x v="2"/>
    <s v="Printer Paper"/>
    <s v="Printer Paper"/>
    <s v="Priya"/>
    <s v="Corporate"/>
    <n v="7"/>
    <n v="1663"/>
    <n v="0"/>
    <n v="11641"/>
    <n v="2163.67"/>
  </r>
  <r>
    <s v="ORD00063"/>
    <s v="2025-04-22"/>
    <x v="2"/>
    <x v="2"/>
    <s v="Chandigarh"/>
    <s v="Chandigarh"/>
    <x v="0"/>
    <s v="Desk"/>
    <s v="Desk"/>
    <s v="John"/>
    <s v="Corporate"/>
    <n v="5"/>
    <n v="45572"/>
    <n v="15"/>
    <n v="193681"/>
    <n v="48347.59"/>
  </r>
  <r>
    <s v="ORD00064"/>
    <s v="2026-05-01"/>
    <x v="6"/>
    <x v="2"/>
    <s v="Chandigarh"/>
    <s v="Chandigarh"/>
    <x v="0"/>
    <s v="Table"/>
    <s v="Table"/>
    <s v="Arun"/>
    <s v="Corporate"/>
    <n v="7"/>
    <n v="41016"/>
    <n v="15"/>
    <n v="244045.2"/>
    <n v="43391.47"/>
  </r>
  <r>
    <s v="ORD00065"/>
    <s v="2026-05-13"/>
    <x v="6"/>
    <x v="2"/>
    <s v="Chandigarh"/>
    <s v="Chandigarh"/>
    <x v="2"/>
    <s v="Pen"/>
    <s v="Pen"/>
    <s v="Meena"/>
    <s v="Corporate"/>
    <n v="9"/>
    <n v="13035"/>
    <n v="10"/>
    <n v="105583.5"/>
    <n v="21571.15"/>
  </r>
  <r>
    <s v="ORD00066"/>
    <s v="2025-10-06"/>
    <x v="11"/>
    <x v="1"/>
    <s v="Karnataka"/>
    <s v="Bengaluru"/>
    <x v="2"/>
    <s v="Notebook"/>
    <s v="Notebook"/>
    <s v="John"/>
    <s v="Retail"/>
    <n v="4"/>
    <n v="32047"/>
    <n v="20"/>
    <n v="102550.39999999999"/>
    <n v="20740.12"/>
  </r>
  <r>
    <s v="ORD00067"/>
    <s v="2025-05-28"/>
    <x v="6"/>
    <x v="0"/>
    <s v="Odisha"/>
    <s v="Bhubaneswar"/>
    <x v="2"/>
    <s v="Notebook"/>
    <s v="Notebook"/>
    <s v="Vicky"/>
    <s v="Retail"/>
    <n v="2"/>
    <n v="33276"/>
    <n v="10"/>
    <n v="59896.800000000003"/>
    <n v="8891.26"/>
  </r>
  <r>
    <s v="ORD00068"/>
    <s v="2026-01-29"/>
    <x v="4"/>
    <x v="3"/>
    <s v="Maharashtra"/>
    <s v="Mumbai"/>
    <x v="2"/>
    <s v="Stapler"/>
    <s v="Stapler"/>
    <s v="Amit"/>
    <s v="Retail"/>
    <n v="6"/>
    <n v="40362"/>
    <n v="15"/>
    <n v="205846.2"/>
    <n v="51337.3"/>
  </r>
  <r>
    <s v="ORD00069"/>
    <s v="2026-05-19"/>
    <x v="6"/>
    <x v="3"/>
    <s v="Maharashtra"/>
    <s v="Mumbai"/>
    <x v="2"/>
    <s v="Pen"/>
    <s v="Pen"/>
    <s v="Amit"/>
    <s v="Corporate"/>
    <n v="10"/>
    <n v="30385"/>
    <n v="5"/>
    <n v="288657.5"/>
    <n v="49844.27"/>
  </r>
  <r>
    <s v="ORD00070"/>
    <s v="2026-02-06"/>
    <x v="9"/>
    <x v="0"/>
    <s v="Odisha"/>
    <s v="Bhubaneswar"/>
    <x v="0"/>
    <s v="Table"/>
    <s v="Table"/>
    <s v="Meena"/>
    <s v="Retail"/>
    <n v="8"/>
    <n v="48604"/>
    <n v="5"/>
    <n v="369390.4"/>
    <n v="24787.57"/>
  </r>
  <r>
    <s v="ORD00071"/>
    <s v="2026-05-27"/>
    <x v="6"/>
    <x v="0"/>
    <s v="Odisha"/>
    <s v="Bhubaneswar"/>
    <x v="2"/>
    <s v="Pen"/>
    <s v="Pen"/>
    <s v="Priya"/>
    <s v="Corporate"/>
    <n v="7"/>
    <n v="1722"/>
    <n v="20"/>
    <n v="9643.2000000000007"/>
    <n v="1870.1"/>
  </r>
  <r>
    <s v="ORD00072"/>
    <s v="2025-03-15"/>
    <x v="0"/>
    <x v="3"/>
    <s v="Gujarat"/>
    <s v="Ahmedabad"/>
    <x v="0"/>
    <s v="Chair"/>
    <s v="Chair"/>
    <s v="Arun"/>
    <s v="Corporate"/>
    <n v="6"/>
    <n v="2848"/>
    <n v="15"/>
    <n v="14524.8"/>
    <n v="2799.45"/>
  </r>
  <r>
    <s v="ORD00073"/>
    <s v="2026-04-14"/>
    <x v="2"/>
    <x v="3"/>
    <s v="Maharashtra"/>
    <s v="Mumbai"/>
    <x v="1"/>
    <s v="Monitor"/>
    <s v="Monitor"/>
    <s v="Vicky"/>
    <s v="Retail"/>
    <n v="1"/>
    <n v="9560"/>
    <n v="20"/>
    <n v="7648"/>
    <n v="512.4"/>
  </r>
  <r>
    <s v="ORD00074"/>
    <s v="2026-04-27"/>
    <x v="2"/>
    <x v="3"/>
    <s v="Maharashtra"/>
    <s v="Mumbai"/>
    <x v="1"/>
    <s v="Mobile"/>
    <s v="Mobile"/>
    <s v="Rahul"/>
    <s v="Corporate"/>
    <n v="9"/>
    <n v="34250"/>
    <n v="0"/>
    <n v="308250"/>
    <n v="73408.59"/>
  </r>
  <r>
    <s v="ORD00075"/>
    <s v="2025-01-18"/>
    <x v="4"/>
    <x v="0"/>
    <s v="West Bengal"/>
    <s v="Kolkata"/>
    <x v="2"/>
    <s v="Notebook"/>
    <s v="Notebook"/>
    <s v="Meena"/>
    <s v="Corporate"/>
    <n v="7"/>
    <n v="26829"/>
    <n v="20"/>
    <n v="150242.4"/>
    <n v="26563.16"/>
  </r>
  <r>
    <s v="ORD00076"/>
    <s v="2025-12-13"/>
    <x v="3"/>
    <x v="3"/>
    <s v="Gujarat"/>
    <s v="Ahmedabad"/>
    <x v="1"/>
    <s v="Monitor"/>
    <s v="Monitor"/>
    <s v="Rahul"/>
    <s v="Retail"/>
    <n v="1"/>
    <n v="47892"/>
    <n v="5"/>
    <n v="45497.4"/>
    <n v="7105.32"/>
  </r>
  <r>
    <s v="ORD00077"/>
    <s v="2025-03-04"/>
    <x v="0"/>
    <x v="0"/>
    <s v="West Bengal"/>
    <s v="Kolkata"/>
    <x v="2"/>
    <s v="Pen"/>
    <s v="Pen"/>
    <s v="Arun"/>
    <s v="Retail"/>
    <n v="6"/>
    <n v="24788"/>
    <n v="15"/>
    <n v="126418.8"/>
    <n v="26620.59"/>
  </r>
  <r>
    <s v="ORD00078"/>
    <s v="2025-11-14"/>
    <x v="7"/>
    <x v="1"/>
    <s v="Tamil Nadu"/>
    <s v="Chennai"/>
    <x v="0"/>
    <s v="Chair"/>
    <s v="Chair"/>
    <s v="Arun"/>
    <s v="Retail"/>
    <n v="3"/>
    <n v="30581"/>
    <n v="15"/>
    <n v="77981.55"/>
    <n v="13449.68"/>
  </r>
  <r>
    <s v="ORD00079"/>
    <s v="2025-05-26"/>
    <x v="6"/>
    <x v="1"/>
    <s v="Karnataka"/>
    <s v="Bengaluru"/>
    <x v="1"/>
    <s v="Laptop"/>
    <s v="Laptop"/>
    <s v="Amit"/>
    <s v="Corporate"/>
    <n v="8"/>
    <n v="35101"/>
    <n v="0"/>
    <n v="280808"/>
    <n v="70086.759999999995"/>
  </r>
  <r>
    <s v="ORD00080"/>
    <s v="2025-10-23"/>
    <x v="11"/>
    <x v="2"/>
    <s v="Chandigarh"/>
    <s v="Chandigarh"/>
    <x v="0"/>
    <s v="Chair"/>
    <s v="Chair"/>
    <s v="Amit"/>
    <s v="Retail"/>
    <n v="6"/>
    <n v="30367"/>
    <n v="10"/>
    <n v="163981.79999999999"/>
    <n v="13545.08"/>
  </r>
  <r>
    <s v="ORD00081"/>
    <s v="2025-12-26"/>
    <x v="3"/>
    <x v="0"/>
    <s v="West Bengal"/>
    <s v="Kolkata"/>
    <x v="1"/>
    <s v="Keyboard"/>
    <s v="Keyboard"/>
    <s v="John"/>
    <s v="Retail"/>
    <n v="6"/>
    <n v="32282"/>
    <n v="0"/>
    <n v="193692"/>
    <n v="26329.21"/>
  </r>
  <r>
    <s v="ORD00082"/>
    <s v="2025-08-17"/>
    <x v="8"/>
    <x v="3"/>
    <s v="Gujarat"/>
    <s v="Ahmedabad"/>
    <x v="0"/>
    <s v="Sofa"/>
    <s v="Sofa"/>
    <s v="Vicky"/>
    <s v="Corporate"/>
    <n v="8"/>
    <n v="19698"/>
    <n v="20"/>
    <n v="126067.2"/>
    <n v="24914.83"/>
  </r>
  <r>
    <s v="ORD00083"/>
    <s v="2025-02-13"/>
    <x v="9"/>
    <x v="3"/>
    <s v="Gujarat"/>
    <s v="Ahmedabad"/>
    <x v="0"/>
    <s v="Chair"/>
    <s v="Chair"/>
    <s v="Arun"/>
    <s v="Retail"/>
    <n v="2"/>
    <n v="48051"/>
    <n v="20"/>
    <n v="76881.600000000006"/>
    <n v="20420.490000000002"/>
  </r>
  <r>
    <s v="ORD00084"/>
    <s v="2025-12-09"/>
    <x v="3"/>
    <x v="3"/>
    <s v="Gujarat"/>
    <s v="Ahmedabad"/>
    <x v="2"/>
    <s v="Stapler"/>
    <s v="Stapler"/>
    <s v="Meena"/>
    <s v="Retail"/>
    <n v="10"/>
    <n v="31350"/>
    <n v="0"/>
    <n v="313500"/>
    <n v="47385.72"/>
  </r>
  <r>
    <s v="ORD00085"/>
    <s v="2026-01-05"/>
    <x v="4"/>
    <x v="0"/>
    <s v="Odisha"/>
    <s v="Bhubaneswar"/>
    <x v="1"/>
    <s v="Mobile"/>
    <s v="Mobile"/>
    <s v="Arun"/>
    <s v="Corporate"/>
    <n v="2"/>
    <n v="44374"/>
    <n v="10"/>
    <n v="79873.2"/>
    <n v="18599.72"/>
  </r>
  <r>
    <s v="ORD00086"/>
    <s v="2025-01-10"/>
    <x v="4"/>
    <x v="1"/>
    <s v="Tamil Nadu"/>
    <s v="Chennai"/>
    <x v="1"/>
    <s v="Monitor"/>
    <s v="Monitor"/>
    <s v="Sneha"/>
    <s v="Retail"/>
    <n v="1"/>
    <n v="32996"/>
    <n v="20"/>
    <n v="26396.799999999999"/>
    <n v="3764.09"/>
  </r>
  <r>
    <s v="ORD00087"/>
    <s v="2025-11-26"/>
    <x v="7"/>
    <x v="0"/>
    <s v="Odisha"/>
    <s v="Bhubaneswar"/>
    <x v="0"/>
    <s v="Sofa"/>
    <s v="Sofa"/>
    <s v="Priya"/>
    <s v="Retail"/>
    <n v="1"/>
    <n v="5227"/>
    <n v="5"/>
    <n v="4965.6499999999996"/>
    <n v="290.42"/>
  </r>
  <r>
    <s v="ORD00088"/>
    <s v="2025-07-19"/>
    <x v="5"/>
    <x v="2"/>
    <s v="Delhi"/>
    <s v="Delhi"/>
    <x v="1"/>
    <s v="Monitor"/>
    <s v="Monitor"/>
    <s v="Sneha"/>
    <s v="Retail"/>
    <n v="3"/>
    <n v="13096"/>
    <n v="5"/>
    <n v="37323.599999999999"/>
    <n v="4294.18"/>
  </r>
  <r>
    <s v="ORD00089"/>
    <s v="2026-05-18"/>
    <x v="6"/>
    <x v="0"/>
    <s v="Odisha"/>
    <s v="Bhubaneswar"/>
    <x v="0"/>
    <s v="Sofa"/>
    <s v="Sofa"/>
    <s v="John"/>
    <s v="Corporate"/>
    <n v="7"/>
    <n v="10723"/>
    <n v="10"/>
    <n v="67554.899999999994"/>
    <n v="18665.09"/>
  </r>
  <r>
    <s v="ORD00090"/>
    <s v="2025-03-05"/>
    <x v="0"/>
    <x v="0"/>
    <s v="Odisha"/>
    <s v="Bhubaneswar"/>
    <x v="1"/>
    <s v="Keyboard"/>
    <s v="Keyboard"/>
    <s v="Amit"/>
    <s v="Corporate"/>
    <n v="3"/>
    <n v="45433"/>
    <n v="20"/>
    <n v="109039.2"/>
    <n v="24007.61"/>
  </r>
  <r>
    <s v="ORD00091"/>
    <s v="2026-02-11"/>
    <x v="9"/>
    <x v="3"/>
    <s v="Maharashtra"/>
    <s v="Mumbai"/>
    <x v="1"/>
    <s v="Mobile"/>
    <s v="Mobile"/>
    <s v="Sneha"/>
    <s v="Retail"/>
    <n v="4"/>
    <n v="45170"/>
    <n v="15"/>
    <n v="153578"/>
    <n v="25782.18"/>
  </r>
  <r>
    <s v="ORD00092"/>
    <s v="2025-10-09"/>
    <x v="11"/>
    <x v="0"/>
    <s v="West Bengal"/>
    <s v="Kolkata"/>
    <x v="2"/>
    <s v="Printer Paper"/>
    <s v="Printer Paper"/>
    <s v="Sneha"/>
    <s v="Corporate"/>
    <n v="4"/>
    <n v="40476"/>
    <n v="0"/>
    <n v="161904"/>
    <n v="48337.3"/>
  </r>
  <r>
    <s v="ORD00093"/>
    <s v="2026-05-08"/>
    <x v="6"/>
    <x v="1"/>
    <s v="Tamil Nadu"/>
    <s v="Chennai"/>
    <x v="1"/>
    <s v="Mobile"/>
    <s v="Mobile"/>
    <s v="Priya"/>
    <s v="Corporate"/>
    <n v="4"/>
    <n v="36979"/>
    <n v="0"/>
    <n v="147916"/>
    <n v="24854.07"/>
  </r>
  <r>
    <s v="ORD00094"/>
    <s v="2026-05-05"/>
    <x v="6"/>
    <x v="2"/>
    <s v="Delhi"/>
    <s v="Delhi"/>
    <x v="1"/>
    <s v="Mobile"/>
    <s v="Mobile"/>
    <s v="John"/>
    <s v="Corporate"/>
    <n v="9"/>
    <n v="46723"/>
    <n v="0"/>
    <n v="420507"/>
    <n v="98182.49"/>
  </r>
  <r>
    <s v="ORD00095"/>
    <s v="2025-10-11"/>
    <x v="11"/>
    <x v="0"/>
    <s v="Odisha"/>
    <s v="Bhubaneswar"/>
    <x v="1"/>
    <s v="Laptop"/>
    <s v="Laptop"/>
    <s v="Priya"/>
    <s v="Corporate"/>
    <n v="10"/>
    <n v="3595"/>
    <n v="5"/>
    <n v="34152.5"/>
    <n v="4720.6899999999996"/>
  </r>
  <r>
    <s v="ORD00096"/>
    <s v="2026-05-07"/>
    <x v="6"/>
    <x v="3"/>
    <s v="Gujarat"/>
    <s v="Ahmedabad"/>
    <x v="2"/>
    <s v="Pen"/>
    <s v="Pen"/>
    <s v="Priya"/>
    <s v="Retail"/>
    <n v="6"/>
    <n v="36560"/>
    <n v="10"/>
    <n v="197424"/>
    <n v="53853.11"/>
  </r>
  <r>
    <s v="ORD00097"/>
    <s v="2026-03-27"/>
    <x v="0"/>
    <x v="2"/>
    <s v="Chandigarh"/>
    <s v="Chandigarh"/>
    <x v="1"/>
    <s v="Laptop"/>
    <s v="Laptop"/>
    <s v="Sneha"/>
    <s v="Corporate"/>
    <n v="6"/>
    <n v="45384"/>
    <n v="10"/>
    <n v="245073.6"/>
    <n v="51256.31"/>
  </r>
  <r>
    <s v="ORD00098"/>
    <s v="2026-06-04"/>
    <x v="1"/>
    <x v="2"/>
    <s v="Delhi"/>
    <s v="Delhi"/>
    <x v="0"/>
    <s v="Chair"/>
    <s v="Chair"/>
    <s v="Arun"/>
    <s v="Corporate"/>
    <n v="8"/>
    <n v="30685"/>
    <n v="5"/>
    <n v="233206"/>
    <n v="60223.14"/>
  </r>
  <r>
    <s v="ORD00099"/>
    <s v="2025-10-17"/>
    <x v="11"/>
    <x v="3"/>
    <s v="Maharashtra"/>
    <s v="Mumbai"/>
    <x v="0"/>
    <s v="Chair"/>
    <s v="Chair"/>
    <s v="Priya"/>
    <s v="Retail"/>
    <n v="4"/>
    <n v="19211"/>
    <n v="20"/>
    <n v="61475.199999999997"/>
    <n v="8237.42"/>
  </r>
  <r>
    <s v="ORD00100"/>
    <s v="2025-11-28"/>
    <x v="7"/>
    <x v="2"/>
    <s v="Chandigarh"/>
    <s v="Chandigarh"/>
    <x v="1"/>
    <s v="Laptop"/>
    <s v="Laptop"/>
    <s v="Rahul"/>
    <s v="Corporate"/>
    <n v="2"/>
    <n v="24325"/>
    <n v="5"/>
    <n v="46217.5"/>
    <n v="4133.95"/>
  </r>
  <r>
    <s v="ORD00101"/>
    <s v="2025-04-01"/>
    <x v="2"/>
    <x v="1"/>
    <s v="Tamil Nadu"/>
    <s v="Chennai"/>
    <x v="2"/>
    <s v="Stapler"/>
    <s v="Stapler"/>
    <s v="John"/>
    <s v="Retail"/>
    <n v="2"/>
    <n v="36245"/>
    <n v="15"/>
    <n v="61616.5"/>
    <n v="4467.18"/>
  </r>
  <r>
    <s v="ORD00102"/>
    <s v="2026-05-15"/>
    <x v="6"/>
    <x v="2"/>
    <s v="Chandigarh"/>
    <s v="Chandigarh"/>
    <x v="1"/>
    <s v="Monitor"/>
    <s v="Monitor"/>
    <s v="Arun"/>
    <s v="Corporate"/>
    <n v="1"/>
    <n v="21089"/>
    <n v="5"/>
    <n v="20034.55"/>
    <n v="2599.04"/>
  </r>
  <r>
    <s v="ORD00103"/>
    <s v="2025-12-23"/>
    <x v="3"/>
    <x v="3"/>
    <s v="Gujarat"/>
    <s v="Ahmedabad"/>
    <x v="1"/>
    <s v="Laptop"/>
    <s v="Laptop"/>
    <s v="Arun"/>
    <s v="Corporate"/>
    <n v="1"/>
    <n v="26318"/>
    <n v="10"/>
    <n v="23686.2"/>
    <n v="4103.46"/>
  </r>
  <r>
    <s v="ORD00104"/>
    <s v="2025-05-30"/>
    <x v="6"/>
    <x v="3"/>
    <s v="Maharashtra"/>
    <s v="Mumbai"/>
    <x v="0"/>
    <s v="Desk"/>
    <s v="Desk"/>
    <s v="Priya"/>
    <s v="Corporate"/>
    <n v="4"/>
    <n v="30443"/>
    <n v="0"/>
    <n v="121772"/>
    <n v="26375.73"/>
  </r>
  <r>
    <s v="ORD00105"/>
    <s v="2026-04-24"/>
    <x v="2"/>
    <x v="2"/>
    <s v="Chandigarh"/>
    <s v="Chandigarh"/>
    <x v="2"/>
    <s v="Stapler"/>
    <s v="Stapler"/>
    <s v="Amit"/>
    <s v="Retail"/>
    <n v="9"/>
    <n v="33481"/>
    <n v="0"/>
    <n v="301329"/>
    <n v="24869.52"/>
  </r>
  <r>
    <s v="ORD00106"/>
    <s v="2026-02-23"/>
    <x v="9"/>
    <x v="1"/>
    <s v="Karnataka"/>
    <s v="Bengaluru"/>
    <x v="0"/>
    <s v="Table"/>
    <s v="Table"/>
    <s v="John"/>
    <s v="Retail"/>
    <n v="3"/>
    <n v="40547"/>
    <n v="0"/>
    <n v="121641"/>
    <n v="36401.06"/>
  </r>
  <r>
    <s v="ORD00107"/>
    <s v="2026-03-19"/>
    <x v="0"/>
    <x v="3"/>
    <s v="Gujarat"/>
    <s v="Ahmedabad"/>
    <x v="1"/>
    <s v="Monitor"/>
    <s v="Monitor"/>
    <s v="John"/>
    <s v="Corporate"/>
    <n v="4"/>
    <n v="21488"/>
    <n v="10"/>
    <n v="77356.800000000003"/>
    <n v="21390.5"/>
  </r>
  <r>
    <s v="ORD00108"/>
    <s v="2026-04-18"/>
    <x v="2"/>
    <x v="2"/>
    <s v="Chandigarh"/>
    <s v="Chandigarh"/>
    <x v="2"/>
    <s v="Pen"/>
    <s v="Pen"/>
    <s v="Rahul"/>
    <s v="Corporate"/>
    <n v="8"/>
    <n v="24731"/>
    <n v="15"/>
    <n v="168170.8"/>
    <n v="43832.95"/>
  </r>
  <r>
    <s v="ORD00109"/>
    <s v="2025-01-22"/>
    <x v="4"/>
    <x v="1"/>
    <s v="Karnataka"/>
    <s v="Bengaluru"/>
    <x v="0"/>
    <s v="Sofa"/>
    <s v="Sofa"/>
    <s v="Vicky"/>
    <s v="Retail"/>
    <n v="8"/>
    <n v="7993"/>
    <n v="5"/>
    <n v="60746.8"/>
    <n v="7513.74"/>
  </r>
  <r>
    <s v="ORD00110"/>
    <s v="2025-11-17"/>
    <x v="7"/>
    <x v="2"/>
    <s v="Delhi"/>
    <s v="Delhi"/>
    <x v="0"/>
    <s v="Chair"/>
    <s v="Chair"/>
    <s v="Sneha"/>
    <s v="Corporate"/>
    <n v="8"/>
    <n v="25911"/>
    <n v="0"/>
    <n v="207288"/>
    <n v="49522.14"/>
  </r>
  <r>
    <s v="ORD00111"/>
    <s v="2025-07-13"/>
    <x v="5"/>
    <x v="2"/>
    <s v="Delhi"/>
    <s v="Delhi"/>
    <x v="0"/>
    <s v="Sofa"/>
    <s v="Sofa"/>
    <s v="Priya"/>
    <s v="Corporate"/>
    <n v="10"/>
    <n v="18368"/>
    <n v="15"/>
    <n v="156128"/>
    <n v="46388.33"/>
  </r>
  <r>
    <s v="ORD00112"/>
    <s v="2025-07-11"/>
    <x v="5"/>
    <x v="1"/>
    <s v="Karnataka"/>
    <s v="Bengaluru"/>
    <x v="1"/>
    <s v="Keyboard"/>
    <s v="Keyboard"/>
    <s v="Amit"/>
    <s v="Retail"/>
    <n v="3"/>
    <n v="1764"/>
    <n v="15"/>
    <n v="4498.2"/>
    <n v="881.22"/>
  </r>
  <r>
    <s v="ORD00113"/>
    <s v="2025-08-22"/>
    <x v="8"/>
    <x v="1"/>
    <s v="Karnataka"/>
    <s v="Bengaluru"/>
    <x v="0"/>
    <s v="Sofa"/>
    <s v="Sofa"/>
    <s v="Arun"/>
    <s v="Retail"/>
    <n v="9"/>
    <n v="45124"/>
    <n v="20"/>
    <n v="324892.79999999999"/>
    <n v="61158.57"/>
  </r>
  <r>
    <s v="ORD00114"/>
    <s v="2025-07-09"/>
    <x v="5"/>
    <x v="1"/>
    <s v="Karnataka"/>
    <s v="Bengaluru"/>
    <x v="1"/>
    <s v="Keyboard"/>
    <s v="Keyboard"/>
    <s v="Vicky"/>
    <s v="Retail"/>
    <n v="10"/>
    <n v="27039"/>
    <n v="10"/>
    <n v="243351"/>
    <n v="13784.11"/>
  </r>
  <r>
    <s v="ORD00115"/>
    <s v="2025-05-06"/>
    <x v="6"/>
    <x v="3"/>
    <s v="Gujarat"/>
    <s v="Ahmedabad"/>
    <x v="2"/>
    <s v="Pen"/>
    <s v="Pen"/>
    <s v="Meena"/>
    <s v="Retail"/>
    <n v="7"/>
    <n v="24742"/>
    <n v="5"/>
    <n v="164534.29999999999"/>
    <n v="16767.7"/>
  </r>
  <r>
    <s v="ORD00116"/>
    <s v="2026-03-16"/>
    <x v="0"/>
    <x v="3"/>
    <s v="Gujarat"/>
    <s v="Ahmedabad"/>
    <x v="2"/>
    <s v="Notebook"/>
    <s v="Notebook"/>
    <s v="Meena"/>
    <s v="Corporate"/>
    <n v="7"/>
    <n v="9715"/>
    <n v="10"/>
    <n v="61204.5"/>
    <n v="3764.73"/>
  </r>
  <r>
    <s v="ORD00117"/>
    <s v="2025-01-10"/>
    <x v="4"/>
    <x v="2"/>
    <s v="Chandigarh"/>
    <s v="Chandigarh"/>
    <x v="2"/>
    <s v="Stapler"/>
    <s v="Stapler"/>
    <s v="Rahul"/>
    <s v="Corporate"/>
    <n v="6"/>
    <n v="6921"/>
    <n v="10"/>
    <n v="37373.4"/>
    <n v="10897.26"/>
  </r>
  <r>
    <s v="ORD00118"/>
    <s v="2026-04-10"/>
    <x v="2"/>
    <x v="2"/>
    <s v="Chandigarh"/>
    <s v="Chandigarh"/>
    <x v="2"/>
    <s v="Pen"/>
    <s v="Pen"/>
    <s v="John"/>
    <s v="Corporate"/>
    <n v="2"/>
    <n v="4754"/>
    <n v="10"/>
    <n v="8557.2000000000007"/>
    <n v="1823.19"/>
  </r>
  <r>
    <s v="ORD00119"/>
    <s v="2025-02-01"/>
    <x v="9"/>
    <x v="1"/>
    <s v="Karnataka"/>
    <s v="Bengaluru"/>
    <x v="1"/>
    <s v="Monitor"/>
    <s v="Monitor"/>
    <s v="John"/>
    <s v="Corporate"/>
    <n v="2"/>
    <n v="22280"/>
    <n v="20"/>
    <n v="35648"/>
    <n v="5090.49"/>
  </r>
  <r>
    <s v="ORD00120"/>
    <s v="2025-08-11"/>
    <x v="8"/>
    <x v="2"/>
    <s v="Delhi"/>
    <s v="Delhi"/>
    <x v="1"/>
    <s v="Monitor"/>
    <s v="Monitor"/>
    <s v="John"/>
    <s v="Retail"/>
    <n v="5"/>
    <n v="32346"/>
    <n v="5"/>
    <n v="153643.5"/>
    <n v="20622.52"/>
  </r>
  <r>
    <s v="ORD00121"/>
    <s v="2025-08-04"/>
    <x v="8"/>
    <x v="3"/>
    <s v="Gujarat"/>
    <s v="Ahmedabad"/>
    <x v="0"/>
    <s v="Chair"/>
    <s v="Chair"/>
    <s v="Priya"/>
    <s v="Retail"/>
    <n v="3"/>
    <n v="22986"/>
    <n v="15"/>
    <n v="58614.3"/>
    <n v="12545.09"/>
  </r>
  <r>
    <s v="ORD00122"/>
    <s v="2025-03-30"/>
    <x v="0"/>
    <x v="3"/>
    <s v="Gujarat"/>
    <s v="Ahmedabad"/>
    <x v="2"/>
    <s v="Notebook"/>
    <s v="Notebook"/>
    <s v="Amit"/>
    <s v="Corporate"/>
    <n v="6"/>
    <n v="19692"/>
    <n v="10"/>
    <n v="106336.8"/>
    <n v="14520.78"/>
  </r>
  <r>
    <s v="ORD00123"/>
    <s v="2025-06-03"/>
    <x v="1"/>
    <x v="1"/>
    <s v="Tamil Nadu"/>
    <s v="Chennai"/>
    <x v="1"/>
    <s v="Monitor"/>
    <s v="Monitor"/>
    <s v="Arun"/>
    <s v="Retail"/>
    <n v="2"/>
    <n v="8903"/>
    <n v="10"/>
    <n v="16025.4"/>
    <n v="1149.31"/>
  </r>
  <r>
    <s v="ORD00124"/>
    <s v="2025-03-13"/>
    <x v="0"/>
    <x v="3"/>
    <s v="Gujarat"/>
    <s v="Ahmedabad"/>
    <x v="0"/>
    <s v="Desk"/>
    <s v="Desk"/>
    <s v="Rahul"/>
    <s v="Retail"/>
    <n v="4"/>
    <n v="34111"/>
    <n v="10"/>
    <n v="122799.6"/>
    <n v="20187.080000000002"/>
  </r>
  <r>
    <s v="ORD00125"/>
    <s v="2025-06-08"/>
    <x v="1"/>
    <x v="3"/>
    <s v="Gujarat"/>
    <s v="Ahmedabad"/>
    <x v="2"/>
    <s v="Pen"/>
    <s v="Pen"/>
    <s v="Amit"/>
    <s v="Retail"/>
    <n v="7"/>
    <n v="6440"/>
    <n v="20"/>
    <n v="36064"/>
    <n v="9816.31"/>
  </r>
  <r>
    <s v="ORD00126"/>
    <s v="2025-06-05"/>
    <x v="1"/>
    <x v="1"/>
    <s v="Tamil Nadu"/>
    <s v="Chennai"/>
    <x v="2"/>
    <s v="Stapler"/>
    <s v="Stapler"/>
    <s v="Meena"/>
    <s v="Corporate"/>
    <n v="9"/>
    <n v="17227"/>
    <n v="20"/>
    <n v="124034.4"/>
    <n v="35059.51"/>
  </r>
  <r>
    <s v="ORD00127"/>
    <s v="2025-04-07"/>
    <x v="2"/>
    <x v="2"/>
    <s v="Delhi"/>
    <s v="Delhi"/>
    <x v="1"/>
    <s v="Monitor"/>
    <s v="Monitor"/>
    <s v="Priya"/>
    <s v="Retail"/>
    <n v="6"/>
    <n v="32696"/>
    <n v="5"/>
    <n v="186367.2"/>
    <n v="14346.99"/>
  </r>
  <r>
    <s v="ORD00128"/>
    <s v="2025-10-16"/>
    <x v="11"/>
    <x v="3"/>
    <s v="Gujarat"/>
    <s v="Ahmedabad"/>
    <x v="1"/>
    <s v="Mobile"/>
    <s v="Mobile"/>
    <s v="Rahul"/>
    <s v="Retail"/>
    <n v="1"/>
    <n v="44828"/>
    <n v="5"/>
    <n v="42586.6"/>
    <n v="9146.64"/>
  </r>
  <r>
    <s v="ORD00129"/>
    <s v="2026-01-04"/>
    <x v="4"/>
    <x v="0"/>
    <s v="Odisha"/>
    <s v="Bhubaneswar"/>
    <x v="0"/>
    <s v="Sofa"/>
    <s v="Sofa"/>
    <s v="Amit"/>
    <s v="Retail"/>
    <n v="4"/>
    <n v="34493"/>
    <n v="0"/>
    <n v="137972"/>
    <n v="23672.26"/>
  </r>
  <r>
    <s v="ORD00130"/>
    <s v="2025-11-03"/>
    <x v="7"/>
    <x v="2"/>
    <s v="Chandigarh"/>
    <s v="Chandigarh"/>
    <x v="2"/>
    <s v="Pen"/>
    <s v="Pen"/>
    <s v="Priya"/>
    <s v="Corporate"/>
    <n v="8"/>
    <n v="38557"/>
    <n v="10"/>
    <n v="277610.40000000002"/>
    <n v="71248.11"/>
  </r>
  <r>
    <s v="ORD00131"/>
    <s v="2026-04-28"/>
    <x v="2"/>
    <x v="1"/>
    <s v="Tamil Nadu"/>
    <s v="Chennai"/>
    <x v="1"/>
    <s v="Mobile"/>
    <s v="Mobile"/>
    <s v="John"/>
    <s v="Corporate"/>
    <n v="10"/>
    <n v="20507"/>
    <n v="5"/>
    <n v="194816.5"/>
    <n v="18978.099999999999"/>
  </r>
  <r>
    <s v="ORD00132"/>
    <s v="2025-06-19"/>
    <x v="1"/>
    <x v="3"/>
    <s v="Gujarat"/>
    <s v="Ahmedabad"/>
    <x v="0"/>
    <s v="Table"/>
    <s v="Table"/>
    <s v="Rahul"/>
    <s v="Corporate"/>
    <n v="10"/>
    <n v="28603"/>
    <n v="15"/>
    <n v="243125.5"/>
    <n v="67781.899999999994"/>
  </r>
  <r>
    <s v="ORD00133"/>
    <s v="2025-11-17"/>
    <x v="7"/>
    <x v="1"/>
    <s v="Tamil Nadu"/>
    <s v="Chennai"/>
    <x v="1"/>
    <s v="Mobile"/>
    <s v="Mobile"/>
    <s v="Arun"/>
    <s v="Retail"/>
    <n v="10"/>
    <n v="32781"/>
    <n v="10"/>
    <n v="295029"/>
    <n v="75800.73"/>
  </r>
  <r>
    <s v="ORD00134"/>
    <s v="2025-06-26"/>
    <x v="1"/>
    <x v="0"/>
    <s v="Odisha"/>
    <s v="Bhubaneswar"/>
    <x v="1"/>
    <s v="Laptop"/>
    <s v="Laptop"/>
    <s v="Meena"/>
    <s v="Retail"/>
    <n v="2"/>
    <n v="45825"/>
    <n v="15"/>
    <n v="77902.5"/>
    <n v="14114.44"/>
  </r>
  <r>
    <s v="ORD00135"/>
    <s v="2025-07-12"/>
    <x v="5"/>
    <x v="2"/>
    <s v="Chandigarh"/>
    <s v="Chandigarh"/>
    <x v="2"/>
    <s v="Pen"/>
    <s v="Pen"/>
    <s v="Priya"/>
    <s v="Retail"/>
    <n v="9"/>
    <n v="16575"/>
    <n v="10"/>
    <n v="134257.5"/>
    <n v="38266.870000000003"/>
  </r>
  <r>
    <s v="ORD00136"/>
    <s v="2025-11-18"/>
    <x v="7"/>
    <x v="1"/>
    <s v="Karnataka"/>
    <s v="Bengaluru"/>
    <x v="1"/>
    <s v="Mobile"/>
    <s v="Mobile"/>
    <s v="Amit"/>
    <s v="Corporate"/>
    <n v="9"/>
    <n v="36599"/>
    <n v="10"/>
    <n v="296451.90000000002"/>
    <n v="72898.509999999995"/>
  </r>
  <r>
    <s v="ORD00137"/>
    <s v="2025-04-28"/>
    <x v="2"/>
    <x v="1"/>
    <s v="Tamil Nadu"/>
    <s v="Chennai"/>
    <x v="2"/>
    <s v="Pen"/>
    <s v="Pen"/>
    <s v="Meena"/>
    <s v="Retail"/>
    <n v="2"/>
    <n v="45775"/>
    <n v="5"/>
    <n v="86972.5"/>
    <n v="8951.27"/>
  </r>
  <r>
    <s v="ORD00138"/>
    <s v="2025-03-07"/>
    <x v="0"/>
    <x v="0"/>
    <s v="Odisha"/>
    <s v="Bhubaneswar"/>
    <x v="0"/>
    <s v="Desk"/>
    <s v="Desk"/>
    <s v="Amit"/>
    <s v="Retail"/>
    <n v="5"/>
    <n v="32985"/>
    <n v="15"/>
    <n v="140186.25"/>
    <n v="30382.17"/>
  </r>
  <r>
    <s v="ORD00139"/>
    <s v="2025-05-04"/>
    <x v="6"/>
    <x v="2"/>
    <s v="Delhi"/>
    <s v="Delhi"/>
    <x v="2"/>
    <s v="Stapler"/>
    <s v="Stapler"/>
    <s v="John"/>
    <s v="Corporate"/>
    <n v="10"/>
    <n v="38023"/>
    <n v="10"/>
    <n v="342207"/>
    <n v="91237.52"/>
  </r>
  <r>
    <s v="ORD00140"/>
    <s v="2025-01-21"/>
    <x v="4"/>
    <x v="0"/>
    <s v="Odisha"/>
    <s v="Bhubaneswar"/>
    <x v="2"/>
    <s v="Pen"/>
    <s v="Pen"/>
    <s v="John"/>
    <s v="Corporate"/>
    <n v="5"/>
    <n v="3562"/>
    <n v="20"/>
    <n v="14248"/>
    <n v="1967.65"/>
  </r>
  <r>
    <s v="ORD00141"/>
    <s v="2025-11-09"/>
    <x v="7"/>
    <x v="3"/>
    <s v="Maharashtra"/>
    <s v="Mumbai"/>
    <x v="1"/>
    <s v="Monitor"/>
    <s v="Monitor"/>
    <s v="Meena"/>
    <s v="Corporate"/>
    <n v="4"/>
    <n v="30415"/>
    <n v="5"/>
    <n v="115577"/>
    <n v="10097.01"/>
  </r>
  <r>
    <s v="ORD00142"/>
    <s v="2025-03-06"/>
    <x v="0"/>
    <x v="3"/>
    <s v="Gujarat"/>
    <s v="Ahmedabad"/>
    <x v="1"/>
    <s v="Laptop"/>
    <s v="Laptop"/>
    <s v="John"/>
    <s v="Corporate"/>
    <n v="10"/>
    <n v="22554"/>
    <n v="5"/>
    <n v="214263"/>
    <n v="39521.480000000003"/>
  </r>
  <r>
    <s v="ORD00143"/>
    <s v="2025-09-11"/>
    <x v="10"/>
    <x v="1"/>
    <s v="Tamil Nadu"/>
    <s v="Chennai"/>
    <x v="2"/>
    <s v="Printer Paper"/>
    <s v="Printer Paper"/>
    <s v="Amit"/>
    <s v="Retail"/>
    <n v="10"/>
    <n v="20730"/>
    <n v="5"/>
    <n v="196935"/>
    <n v="57795.89"/>
  </r>
  <r>
    <s v="ORD00144"/>
    <s v="2025-06-25"/>
    <x v="1"/>
    <x v="2"/>
    <s v="Delhi"/>
    <s v="Delhi"/>
    <x v="1"/>
    <s v="Monitor"/>
    <s v="Monitor"/>
    <s v="Arun"/>
    <s v="Retail"/>
    <n v="10"/>
    <n v="44972"/>
    <n v="0"/>
    <n v="449720"/>
    <n v="75512.56"/>
  </r>
  <r>
    <s v="ORD00145"/>
    <s v="2025-02-19"/>
    <x v="9"/>
    <x v="0"/>
    <s v="Odisha"/>
    <s v="Bhubaneswar"/>
    <x v="1"/>
    <s v="Monitor"/>
    <s v="Monitor"/>
    <s v="Rahul"/>
    <s v="Retail"/>
    <n v="3"/>
    <n v="20323"/>
    <n v="5"/>
    <n v="57920.55"/>
    <n v="6964.61"/>
  </r>
  <r>
    <s v="ORD00146"/>
    <s v="2026-01-29"/>
    <x v="4"/>
    <x v="0"/>
    <s v="Odisha"/>
    <s v="Bhubaneswar"/>
    <x v="1"/>
    <s v="Laptop"/>
    <s v="Laptop"/>
    <s v="John"/>
    <s v="Retail"/>
    <n v="5"/>
    <n v="38792"/>
    <n v="10"/>
    <n v="174564"/>
    <n v="40968.519999999997"/>
  </r>
  <r>
    <s v="ORD00147"/>
    <s v="2025-01-21"/>
    <x v="4"/>
    <x v="3"/>
    <s v="Gujarat"/>
    <s v="Ahmedabad"/>
    <x v="2"/>
    <s v="Printer Paper"/>
    <s v="Printer Paper"/>
    <s v="Arun"/>
    <s v="Corporate"/>
    <n v="4"/>
    <n v="20250"/>
    <n v="20"/>
    <n v="64800"/>
    <n v="15874.2"/>
  </r>
  <r>
    <s v="ORD00148"/>
    <s v="2026-05-02"/>
    <x v="6"/>
    <x v="2"/>
    <s v="Chandigarh"/>
    <s v="Chandigarh"/>
    <x v="0"/>
    <s v="Desk"/>
    <s v="Desk"/>
    <s v="Priya"/>
    <s v="Retail"/>
    <n v="9"/>
    <n v="2531"/>
    <n v="15"/>
    <n v="19362.150000000001"/>
    <n v="4074.83"/>
  </r>
  <r>
    <s v="ORD00149"/>
    <s v="2025-06-15"/>
    <x v="1"/>
    <x v="2"/>
    <s v="Chandigarh"/>
    <s v="Chandigarh"/>
    <x v="0"/>
    <s v="Chair"/>
    <s v="Chair"/>
    <s v="John"/>
    <s v="Corporate"/>
    <n v="7"/>
    <n v="17564"/>
    <n v="0"/>
    <n v="122948"/>
    <n v="21657.53"/>
  </r>
  <r>
    <s v="ORD00150"/>
    <s v="2025-02-09"/>
    <x v="9"/>
    <x v="0"/>
    <s v="Odisha"/>
    <s v="Bhubaneswar"/>
    <x v="0"/>
    <s v="Table"/>
    <s v="Table"/>
    <s v="Rahul"/>
    <s v="Retail"/>
    <n v="9"/>
    <n v="512"/>
    <n v="20"/>
    <n v="3686.4"/>
    <n v="331.59"/>
  </r>
  <r>
    <s v="ORD00151"/>
    <s v="2025-04-08"/>
    <x v="2"/>
    <x v="0"/>
    <s v="Odisha"/>
    <s v="Bhubaneswar"/>
    <x v="2"/>
    <s v="Pen"/>
    <s v="Pen"/>
    <s v="Meena"/>
    <s v="Retail"/>
    <n v="3"/>
    <n v="30770"/>
    <n v="15"/>
    <n v="78463.5"/>
    <n v="13392.47"/>
  </r>
  <r>
    <s v="ORD00152"/>
    <s v="2025-10-17"/>
    <x v="11"/>
    <x v="3"/>
    <s v="Maharashtra"/>
    <s v="Mumbai"/>
    <x v="2"/>
    <s v="Pen"/>
    <s v="Pen"/>
    <s v="Arun"/>
    <s v="Retail"/>
    <n v="6"/>
    <n v="35688"/>
    <n v="15"/>
    <n v="182008.8"/>
    <n v="46609.42"/>
  </r>
  <r>
    <s v="ORD00153"/>
    <s v="2025-10-24"/>
    <x v="11"/>
    <x v="1"/>
    <s v="Tamil Nadu"/>
    <s v="Chennai"/>
    <x v="2"/>
    <s v="Notebook"/>
    <s v="Notebook"/>
    <s v="Arun"/>
    <s v="Retail"/>
    <n v="4"/>
    <n v="10608"/>
    <n v="20"/>
    <n v="33945.599999999999"/>
    <n v="9213.6200000000008"/>
  </r>
  <r>
    <s v="ORD00154"/>
    <s v="2025-02-15"/>
    <x v="9"/>
    <x v="3"/>
    <s v="Maharashtra"/>
    <s v="Mumbai"/>
    <x v="2"/>
    <s v="Notebook"/>
    <s v="Notebook"/>
    <s v="Rahul"/>
    <s v="Corporate"/>
    <n v="5"/>
    <n v="42962"/>
    <n v="20"/>
    <n v="171848"/>
    <n v="30316.31"/>
  </r>
  <r>
    <s v="ORD00155"/>
    <s v="2025-10-06"/>
    <x v="11"/>
    <x v="0"/>
    <s v="Odisha"/>
    <s v="Bhubaneswar"/>
    <x v="1"/>
    <s v="Mobile"/>
    <s v="Mobile"/>
    <s v="Meena"/>
    <s v="Retail"/>
    <n v="7"/>
    <n v="23336"/>
    <n v="10"/>
    <n v="147016.79999999999"/>
    <n v="29776.74"/>
  </r>
  <r>
    <s v="ORD00156"/>
    <s v="2025-07-25"/>
    <x v="5"/>
    <x v="2"/>
    <s v="Delhi"/>
    <s v="Delhi"/>
    <x v="2"/>
    <s v="Printer Paper"/>
    <s v="Printer Paper"/>
    <s v="Rahul"/>
    <s v="Corporate"/>
    <n v="2"/>
    <n v="17569"/>
    <n v="10"/>
    <n v="31624.2"/>
    <n v="9120.59"/>
  </r>
  <r>
    <s v="ORD00157"/>
    <s v="2025-11-18"/>
    <x v="7"/>
    <x v="0"/>
    <s v="Odisha"/>
    <s v="Bhubaneswar"/>
    <x v="1"/>
    <s v="Monitor"/>
    <s v="Monitor"/>
    <s v="John"/>
    <s v="Corporate"/>
    <n v="5"/>
    <n v="41141"/>
    <n v="10"/>
    <n v="185134.5"/>
    <n v="27995.01"/>
  </r>
  <r>
    <s v="ORD00158"/>
    <s v="2025-04-01"/>
    <x v="2"/>
    <x v="0"/>
    <s v="Odisha"/>
    <s v="Bhubaneswar"/>
    <x v="1"/>
    <s v="Keyboard"/>
    <s v="Keyboard"/>
    <s v="Priya"/>
    <s v="Corporate"/>
    <n v="4"/>
    <n v="40417"/>
    <n v="0"/>
    <n v="161668"/>
    <n v="48031.22"/>
  </r>
  <r>
    <s v="ORD00159"/>
    <s v="2025-12-26"/>
    <x v="3"/>
    <x v="1"/>
    <s v="Karnataka"/>
    <s v="Bengaluru"/>
    <x v="0"/>
    <s v="Table"/>
    <s v="Table"/>
    <s v="Priya"/>
    <s v="Retail"/>
    <n v="1"/>
    <n v="13145"/>
    <n v="5"/>
    <n v="12487.75"/>
    <n v="2149.7399999999998"/>
  </r>
  <r>
    <s v="ORD00160"/>
    <s v="2026-05-03"/>
    <x v="6"/>
    <x v="3"/>
    <s v="Maharashtra"/>
    <s v="Mumbai"/>
    <x v="0"/>
    <s v="Desk"/>
    <s v="Desk"/>
    <s v="Meena"/>
    <s v="Retail"/>
    <n v="6"/>
    <n v="20828"/>
    <n v="20"/>
    <n v="99974.399999999994"/>
    <n v="20538.150000000001"/>
  </r>
  <r>
    <s v="ORD00161"/>
    <s v="2025-02-18"/>
    <x v="9"/>
    <x v="0"/>
    <s v="West Bengal"/>
    <s v="Kolkata"/>
    <x v="0"/>
    <s v="Sofa"/>
    <s v="Sofa"/>
    <s v="Priya"/>
    <s v="Retail"/>
    <n v="2"/>
    <n v="7247"/>
    <n v="5"/>
    <n v="13769.3"/>
    <n v="3337.16"/>
  </r>
  <r>
    <s v="ORD00162"/>
    <s v="2025-12-27"/>
    <x v="3"/>
    <x v="1"/>
    <s v="Tamil Nadu"/>
    <s v="Chennai"/>
    <x v="1"/>
    <s v="Mobile"/>
    <s v="Mobile"/>
    <s v="Sneha"/>
    <s v="Retail"/>
    <n v="5"/>
    <n v="17897"/>
    <n v="15"/>
    <n v="76062.25"/>
    <n v="4355.46"/>
  </r>
  <r>
    <s v="ORD00163"/>
    <s v="2026-03-25"/>
    <x v="0"/>
    <x v="1"/>
    <s v="Tamil Nadu"/>
    <s v="Chennai"/>
    <x v="0"/>
    <s v="Table"/>
    <s v="Table"/>
    <s v="Priya"/>
    <s v="Retail"/>
    <n v="4"/>
    <n v="5470"/>
    <n v="15"/>
    <n v="18598"/>
    <n v="1649.65"/>
  </r>
  <r>
    <s v="ORD00164"/>
    <s v="2025-09-20"/>
    <x v="10"/>
    <x v="2"/>
    <s v="Delhi"/>
    <s v="Delhi"/>
    <x v="2"/>
    <s v="Pen"/>
    <s v="Pen"/>
    <s v="John"/>
    <s v="Retail"/>
    <n v="7"/>
    <n v="4090"/>
    <n v="0"/>
    <n v="28630"/>
    <n v="3828.76"/>
  </r>
  <r>
    <s v="ORD00165"/>
    <s v="2025-01-05"/>
    <x v="4"/>
    <x v="0"/>
    <s v="Odisha"/>
    <s v="Bhubaneswar"/>
    <x v="2"/>
    <s v="Stapler"/>
    <s v="Stapler"/>
    <s v="Priya"/>
    <s v="Corporate"/>
    <n v="8"/>
    <n v="20843"/>
    <n v="10"/>
    <n v="150069.6"/>
    <n v="27940.83"/>
  </r>
  <r>
    <s v="ORD00166"/>
    <s v="2026-01-23"/>
    <x v="4"/>
    <x v="1"/>
    <s v="Karnataka"/>
    <s v="Bengaluru"/>
    <x v="1"/>
    <s v="Mobile"/>
    <s v="Mobile"/>
    <s v="Sneha"/>
    <s v="Retail"/>
    <n v="8"/>
    <n v="19971"/>
    <n v="10"/>
    <n v="143791.20000000001"/>
    <n v="19855.11"/>
  </r>
  <r>
    <s v="ORD00167"/>
    <s v="2026-06-12"/>
    <x v="1"/>
    <x v="3"/>
    <s v="Gujarat"/>
    <s v="Ahmedabad"/>
    <x v="0"/>
    <s v="Chair"/>
    <s v="Chair"/>
    <s v="Amit"/>
    <s v="Corporate"/>
    <n v="8"/>
    <n v="39493"/>
    <n v="20"/>
    <n v="252755.20000000001"/>
    <n v="29608.22"/>
  </r>
  <r>
    <s v="ORD00168"/>
    <s v="2025-12-31"/>
    <x v="3"/>
    <x v="3"/>
    <s v="Gujarat"/>
    <s v="Ahmedabad"/>
    <x v="0"/>
    <s v="Chair"/>
    <s v="Chair"/>
    <s v="Priya"/>
    <s v="Retail"/>
    <n v="8"/>
    <n v="18498"/>
    <n v="5"/>
    <n v="140584.79999999999"/>
    <n v="20854.79"/>
  </r>
  <r>
    <s v="ORD00169"/>
    <s v="2026-03-08"/>
    <x v="0"/>
    <x v="3"/>
    <s v="Gujarat"/>
    <s v="Ahmedabad"/>
    <x v="1"/>
    <s v="Mobile"/>
    <s v="Mobile"/>
    <s v="Sneha"/>
    <s v="Corporate"/>
    <n v="9"/>
    <n v="42306"/>
    <n v="15"/>
    <n v="323640.90000000002"/>
    <n v="21692.65"/>
  </r>
  <r>
    <s v="ORD00170"/>
    <s v="2025-08-18"/>
    <x v="8"/>
    <x v="1"/>
    <s v="Karnataka"/>
    <s v="Bengaluru"/>
    <x v="0"/>
    <s v="Sofa"/>
    <s v="Sofa"/>
    <s v="Arun"/>
    <s v="Retail"/>
    <n v="3"/>
    <n v="13338"/>
    <n v="10"/>
    <n v="36012.6"/>
    <n v="8686.9599999999991"/>
  </r>
  <r>
    <s v="ORD00171"/>
    <s v="2025-01-13"/>
    <x v="4"/>
    <x v="0"/>
    <s v="Odisha"/>
    <s v="Bhubaneswar"/>
    <x v="1"/>
    <s v="Mobile"/>
    <s v="Mobile"/>
    <s v="John"/>
    <s v="Corporate"/>
    <n v="9"/>
    <n v="20928"/>
    <n v="15"/>
    <n v="160099.20000000001"/>
    <n v="42824.68"/>
  </r>
  <r>
    <s v="ORD00172"/>
    <s v="2025-01-09"/>
    <x v="4"/>
    <x v="0"/>
    <s v="Odisha"/>
    <s v="Bhubaneswar"/>
    <x v="2"/>
    <s v="Stapler"/>
    <s v="Stapler"/>
    <s v="John"/>
    <s v="Retail"/>
    <n v="3"/>
    <n v="38436"/>
    <n v="5"/>
    <n v="109542.6"/>
    <n v="11798.51"/>
  </r>
  <r>
    <s v="ORD00173"/>
    <s v="2025-04-05"/>
    <x v="2"/>
    <x v="2"/>
    <s v="Chandigarh"/>
    <s v="Chandigarh"/>
    <x v="0"/>
    <s v="Desk"/>
    <s v="Desk"/>
    <s v="Priya"/>
    <s v="Corporate"/>
    <n v="10"/>
    <n v="42322"/>
    <n v="15"/>
    <n v="359737"/>
    <n v="53503.35"/>
  </r>
  <r>
    <s v="ORD00174"/>
    <s v="2026-03-23"/>
    <x v="0"/>
    <x v="0"/>
    <s v="West Bengal"/>
    <s v="Kolkata"/>
    <x v="0"/>
    <s v="Table"/>
    <s v="Table"/>
    <s v="Vicky"/>
    <s v="Corporate"/>
    <n v="5"/>
    <n v="10062"/>
    <n v="20"/>
    <n v="40248"/>
    <n v="7057.42"/>
  </r>
  <r>
    <s v="ORD00175"/>
    <s v="2026-03-29"/>
    <x v="0"/>
    <x v="0"/>
    <s v="Odisha"/>
    <s v="Bhubaneswar"/>
    <x v="1"/>
    <s v="Mobile"/>
    <s v="Mobile"/>
    <s v="Rahul"/>
    <s v="Corporate"/>
    <n v="2"/>
    <n v="40443"/>
    <n v="15"/>
    <n v="68753.100000000006"/>
    <n v="14529.59"/>
  </r>
  <r>
    <s v="ORD00176"/>
    <s v="2025-08-21"/>
    <x v="8"/>
    <x v="3"/>
    <s v="Gujarat"/>
    <s v="Ahmedabad"/>
    <x v="1"/>
    <s v="Monitor"/>
    <s v="Monitor"/>
    <s v="Rahul"/>
    <s v="Retail"/>
    <n v="4"/>
    <n v="21677"/>
    <n v="20"/>
    <n v="69366.399999999994"/>
    <n v="20319.97"/>
  </r>
  <r>
    <s v="ORD00177"/>
    <s v="2025-01-11"/>
    <x v="4"/>
    <x v="2"/>
    <s v="Chandigarh"/>
    <s v="Chandigarh"/>
    <x v="0"/>
    <s v="Table"/>
    <s v="Table"/>
    <s v="Vicky"/>
    <s v="Retail"/>
    <n v="2"/>
    <n v="37572"/>
    <n v="5"/>
    <n v="71386.8"/>
    <n v="8232.51"/>
  </r>
  <r>
    <s v="ORD00178"/>
    <s v="2026-04-13"/>
    <x v="2"/>
    <x v="2"/>
    <s v="Chandigarh"/>
    <s v="Chandigarh"/>
    <x v="2"/>
    <s v="Printer Paper"/>
    <s v="Printer Paper"/>
    <s v="John"/>
    <s v="Retail"/>
    <n v="2"/>
    <n v="26410"/>
    <n v="5"/>
    <n v="50179"/>
    <n v="3609.9"/>
  </r>
  <r>
    <s v="ORD00179"/>
    <s v="2025-12-11"/>
    <x v="3"/>
    <x v="2"/>
    <s v="Delhi"/>
    <s v="Delhi"/>
    <x v="1"/>
    <s v="Keyboard"/>
    <s v="Keyboard"/>
    <s v="Rahul"/>
    <s v="Retail"/>
    <n v="3"/>
    <n v="8591"/>
    <n v="15"/>
    <n v="21907.05"/>
    <n v="1970.7"/>
  </r>
  <r>
    <s v="ORD00180"/>
    <s v="2026-02-19"/>
    <x v="9"/>
    <x v="0"/>
    <s v="Odisha"/>
    <s v="Bhubaneswar"/>
    <x v="1"/>
    <s v="Monitor"/>
    <s v="Monitor"/>
    <s v="Sneha"/>
    <s v="Retail"/>
    <n v="5"/>
    <n v="13511"/>
    <n v="20"/>
    <n v="54044"/>
    <n v="11263.43"/>
  </r>
  <r>
    <s v="ORD00181"/>
    <s v="2025-12-20"/>
    <x v="3"/>
    <x v="3"/>
    <s v="Gujarat"/>
    <s v="Ahmedabad"/>
    <x v="2"/>
    <s v="Pen"/>
    <s v="Pen"/>
    <s v="Vicky"/>
    <s v="Retail"/>
    <n v="7"/>
    <n v="48312"/>
    <n v="5"/>
    <n v="321274.8"/>
    <n v="79408.52"/>
  </r>
  <r>
    <s v="ORD00182"/>
    <s v="2025-03-08"/>
    <x v="0"/>
    <x v="1"/>
    <s v="Karnataka"/>
    <s v="Bengaluru"/>
    <x v="1"/>
    <s v="Mobile"/>
    <s v="Mobile"/>
    <s v="Meena"/>
    <s v="Corporate"/>
    <n v="2"/>
    <n v="38987"/>
    <n v="15"/>
    <n v="66277.899999999994"/>
    <n v="15830.84"/>
  </r>
  <r>
    <s v="ORD00183"/>
    <s v="2026-02-07"/>
    <x v="9"/>
    <x v="0"/>
    <s v="West Bengal"/>
    <s v="Kolkata"/>
    <x v="1"/>
    <s v="Monitor"/>
    <s v="Monitor"/>
    <s v="Vicky"/>
    <s v="Retail"/>
    <n v="3"/>
    <n v="21506"/>
    <n v="5"/>
    <n v="61292.1"/>
    <n v="5672.11"/>
  </r>
  <r>
    <s v="ORD00184"/>
    <s v="2025-07-25"/>
    <x v="5"/>
    <x v="0"/>
    <s v="Odisha"/>
    <s v="Bhubaneswar"/>
    <x v="2"/>
    <s v="Pen"/>
    <s v="Pen"/>
    <s v="John"/>
    <s v="Retail"/>
    <n v="10"/>
    <n v="13016"/>
    <n v="0"/>
    <n v="130160"/>
    <n v="12377.8"/>
  </r>
  <r>
    <s v="ORD00185"/>
    <s v="2025-01-13"/>
    <x v="4"/>
    <x v="2"/>
    <s v="Delhi"/>
    <s v="Delhi"/>
    <x v="0"/>
    <s v="Chair"/>
    <s v="Chair"/>
    <s v="Arun"/>
    <s v="Corporate"/>
    <n v="3"/>
    <n v="49829"/>
    <n v="0"/>
    <n v="149487"/>
    <n v="12244.54"/>
  </r>
  <r>
    <s v="ORD00186"/>
    <s v="2026-01-10"/>
    <x v="4"/>
    <x v="0"/>
    <s v="Odisha"/>
    <s v="Bhubaneswar"/>
    <x v="0"/>
    <s v="Sofa"/>
    <s v="Sofa"/>
    <s v="Priya"/>
    <s v="Retail"/>
    <n v="2"/>
    <n v="42217"/>
    <n v="15"/>
    <n v="71768.899999999994"/>
    <n v="12733.94"/>
  </r>
  <r>
    <s v="ORD00187"/>
    <s v="2025-08-04"/>
    <x v="8"/>
    <x v="2"/>
    <s v="Chandigarh"/>
    <s v="Chandigarh"/>
    <x v="2"/>
    <s v="Stapler"/>
    <s v="Stapler"/>
    <s v="Vicky"/>
    <s v="Retail"/>
    <n v="7"/>
    <n v="3361"/>
    <n v="5"/>
    <n v="22350.65"/>
    <n v="4442.38"/>
  </r>
  <r>
    <s v="ORD00188"/>
    <s v="2025-09-28"/>
    <x v="10"/>
    <x v="3"/>
    <s v="Maharashtra"/>
    <s v="Mumbai"/>
    <x v="2"/>
    <s v="Stapler"/>
    <s v="Stapler"/>
    <s v="Meena"/>
    <s v="Corporate"/>
    <n v="10"/>
    <n v="16822"/>
    <n v="5"/>
    <n v="159809"/>
    <n v="9322.0400000000009"/>
  </r>
  <r>
    <s v="ORD00189"/>
    <s v="2026-01-09"/>
    <x v="4"/>
    <x v="2"/>
    <s v="Chandigarh"/>
    <s v="Chandigarh"/>
    <x v="2"/>
    <s v="Notebook"/>
    <s v="Notebook"/>
    <s v="Arun"/>
    <s v="Corporate"/>
    <n v="2"/>
    <n v="39080"/>
    <n v="10"/>
    <n v="70344"/>
    <n v="12271.3"/>
  </r>
  <r>
    <s v="ORD00190"/>
    <s v="2025-02-22"/>
    <x v="9"/>
    <x v="1"/>
    <s v="Tamil Nadu"/>
    <s v="Chennai"/>
    <x v="0"/>
    <s v="Table"/>
    <s v="Table"/>
    <s v="Priya"/>
    <s v="Retail"/>
    <n v="5"/>
    <n v="42845"/>
    <n v="15"/>
    <n v="182091.25"/>
    <n v="10645.12"/>
  </r>
  <r>
    <s v="ORD00191"/>
    <s v="2026-03-06"/>
    <x v="0"/>
    <x v="0"/>
    <s v="Odisha"/>
    <s v="Bhubaneswar"/>
    <x v="1"/>
    <s v="Mobile"/>
    <s v="Mobile"/>
    <s v="Meena"/>
    <s v="Retail"/>
    <n v="2"/>
    <n v="15515"/>
    <n v="0"/>
    <n v="31030"/>
    <n v="8018.46"/>
  </r>
  <r>
    <s v="ORD00192"/>
    <s v="2025-11-19"/>
    <x v="7"/>
    <x v="0"/>
    <s v="Odisha"/>
    <s v="Bhubaneswar"/>
    <x v="0"/>
    <s v="Desk"/>
    <s v="Desk"/>
    <s v="Amit"/>
    <s v="Retail"/>
    <n v="8"/>
    <n v="9537"/>
    <n v="15"/>
    <n v="64851.6"/>
    <n v="10455.25"/>
  </r>
  <r>
    <s v="ORD00193"/>
    <s v="2026-02-02"/>
    <x v="9"/>
    <x v="0"/>
    <s v="Odisha"/>
    <s v="Bhubaneswar"/>
    <x v="0"/>
    <s v="Desk"/>
    <s v="Desk"/>
    <s v="Rahul"/>
    <s v="Retail"/>
    <n v="1"/>
    <n v="29271"/>
    <n v="10"/>
    <n v="26343.9"/>
    <n v="5313.89"/>
  </r>
  <r>
    <s v="ORD00194"/>
    <s v="2026-01-29"/>
    <x v="4"/>
    <x v="0"/>
    <s v="West Bengal"/>
    <s v="Kolkata"/>
    <x v="2"/>
    <s v="Stapler"/>
    <s v="Stapler"/>
    <s v="Amit"/>
    <s v="Corporate"/>
    <n v="3"/>
    <n v="5508"/>
    <n v="10"/>
    <n v="14871.6"/>
    <n v="3742.61"/>
  </r>
  <r>
    <s v="ORD00195"/>
    <s v="2026-04-19"/>
    <x v="2"/>
    <x v="1"/>
    <s v="Tamil Nadu"/>
    <s v="Chennai"/>
    <x v="0"/>
    <s v="Sofa"/>
    <s v="Sofa"/>
    <s v="Priya"/>
    <s v="Corporate"/>
    <n v="2"/>
    <n v="39592"/>
    <n v="10"/>
    <n v="71265.600000000006"/>
    <n v="14910.18"/>
  </r>
  <r>
    <s v="ORD00196"/>
    <s v="2026-02-18"/>
    <x v="9"/>
    <x v="0"/>
    <s v="Odisha"/>
    <s v="Bhubaneswar"/>
    <x v="1"/>
    <s v="Monitor"/>
    <s v="Monitor"/>
    <s v="Sneha"/>
    <s v="Corporate"/>
    <n v="5"/>
    <n v="42414"/>
    <n v="15"/>
    <n v="180259.5"/>
    <n v="17513.849999999999"/>
  </r>
  <r>
    <s v="ORD00197"/>
    <s v="2026-03-07"/>
    <x v="0"/>
    <x v="0"/>
    <s v="West Bengal"/>
    <s v="Kolkata"/>
    <x v="2"/>
    <s v="Notebook"/>
    <s v="Notebook"/>
    <s v="Meena"/>
    <s v="Retail"/>
    <n v="7"/>
    <n v="33250"/>
    <n v="10"/>
    <n v="209475"/>
    <n v="54528.87"/>
  </r>
  <r>
    <s v="ORD00198"/>
    <s v="2025-02-22"/>
    <x v="9"/>
    <x v="3"/>
    <s v="Gujarat"/>
    <s v="Ahmedabad"/>
    <x v="1"/>
    <s v="Laptop"/>
    <s v="Laptop"/>
    <s v="Meena"/>
    <s v="Retail"/>
    <n v="4"/>
    <n v="8331"/>
    <n v="0"/>
    <n v="33324"/>
    <n v="3090.46"/>
  </r>
  <r>
    <s v="ORD00199"/>
    <s v="2025-09-06"/>
    <x v="10"/>
    <x v="1"/>
    <s v="Karnataka"/>
    <s v="Bengaluru"/>
    <x v="1"/>
    <s v="Keyboard"/>
    <s v="Keyboard"/>
    <s v="Amit"/>
    <s v="Retail"/>
    <n v="7"/>
    <n v="42617"/>
    <n v="15"/>
    <n v="253571.15"/>
    <n v="44381.53"/>
  </r>
  <r>
    <s v="ORD00200"/>
    <s v="2025-08-09"/>
    <x v="8"/>
    <x v="2"/>
    <s v="Delhi"/>
    <s v="Delhi"/>
    <x v="0"/>
    <s v="Desk"/>
    <s v="Desk"/>
    <s v="Amit"/>
    <s v="Retail"/>
    <n v="4"/>
    <n v="48208"/>
    <n v="5"/>
    <n v="183190.39999999999"/>
    <n v="37436.07"/>
  </r>
  <r>
    <s v="ORD00201"/>
    <s v="2026-03-26"/>
    <x v="0"/>
    <x v="3"/>
    <s v="Gujarat"/>
    <s v="Ahmedabad"/>
    <x v="0"/>
    <s v="Sofa"/>
    <s v="Sofa"/>
    <s v="Arun"/>
    <s v="Corporate"/>
    <n v="4"/>
    <n v="8223"/>
    <n v="5"/>
    <n v="31247.4"/>
    <n v="5948.79"/>
  </r>
  <r>
    <s v="ORD00202"/>
    <s v="2026-05-15"/>
    <x v="6"/>
    <x v="3"/>
    <s v="Maharashtra"/>
    <s v="Mumbai"/>
    <x v="1"/>
    <s v="Keyboard"/>
    <s v="Keyboard"/>
    <s v="John"/>
    <s v="Corporate"/>
    <n v="10"/>
    <n v="9863"/>
    <n v="5"/>
    <n v="93698.5"/>
    <n v="7154.53"/>
  </r>
  <r>
    <s v="ORD00203"/>
    <s v="2025-09-12"/>
    <x v="10"/>
    <x v="3"/>
    <s v="Maharashtra"/>
    <s v="Mumbai"/>
    <x v="0"/>
    <s v="Sofa"/>
    <s v="Sofa"/>
    <s v="Arun"/>
    <s v="Retail"/>
    <n v="4"/>
    <n v="49889"/>
    <n v="0"/>
    <n v="199556"/>
    <n v="24307.41"/>
  </r>
  <r>
    <s v="ORD00204"/>
    <s v="2025-07-12"/>
    <x v="5"/>
    <x v="3"/>
    <s v="Gujarat"/>
    <s v="Ahmedabad"/>
    <x v="2"/>
    <s v="Printer Paper"/>
    <s v="Printer Paper"/>
    <s v="John"/>
    <s v="Corporate"/>
    <n v="1"/>
    <n v="42247"/>
    <n v="15"/>
    <n v="35909.949999999997"/>
    <n v="10281.64"/>
  </r>
  <r>
    <s v="ORD00205"/>
    <s v="2026-02-19"/>
    <x v="9"/>
    <x v="3"/>
    <s v="Gujarat"/>
    <s v="Ahmedabad"/>
    <x v="0"/>
    <s v="Sofa"/>
    <s v="Sofa"/>
    <s v="Meena"/>
    <s v="Retail"/>
    <n v="10"/>
    <n v="45106"/>
    <n v="0"/>
    <n v="451060"/>
    <n v="43871.02"/>
  </r>
  <r>
    <s v="ORD00206"/>
    <s v="2026-04-19"/>
    <x v="2"/>
    <x v="1"/>
    <s v="Tamil Nadu"/>
    <s v="Chennai"/>
    <x v="2"/>
    <s v="Printer Paper"/>
    <s v="Printer Paper"/>
    <s v="Vicky"/>
    <s v="Retail"/>
    <n v="7"/>
    <n v="20048"/>
    <n v="10"/>
    <n v="126302.39999999999"/>
    <n v="31884.98"/>
  </r>
  <r>
    <s v="ORD00207"/>
    <s v="2026-02-28"/>
    <x v="9"/>
    <x v="3"/>
    <s v="Maharashtra"/>
    <s v="Mumbai"/>
    <x v="0"/>
    <s v="Table"/>
    <s v="Table"/>
    <s v="John"/>
    <s v="Retail"/>
    <n v="9"/>
    <n v="23276"/>
    <n v="0"/>
    <n v="209484"/>
    <n v="44475.06"/>
  </r>
  <r>
    <s v="ORD00208"/>
    <s v="2026-05-03"/>
    <x v="6"/>
    <x v="2"/>
    <s v="Delhi"/>
    <s v="Delhi"/>
    <x v="1"/>
    <s v="Laptop"/>
    <s v="Laptop"/>
    <s v="Sneha"/>
    <s v="Retail"/>
    <n v="10"/>
    <n v="9659"/>
    <n v="15"/>
    <n v="82101.5"/>
    <n v="19123.71"/>
  </r>
  <r>
    <s v="ORD00209"/>
    <s v="2025-01-12"/>
    <x v="4"/>
    <x v="1"/>
    <s v="Tamil Nadu"/>
    <s v="Chennai"/>
    <x v="0"/>
    <s v="Desk"/>
    <s v="Desk"/>
    <s v="Arun"/>
    <s v="Retail"/>
    <n v="9"/>
    <n v="18118"/>
    <n v="10"/>
    <n v="146755.79999999999"/>
    <n v="15281.3"/>
  </r>
  <r>
    <s v="ORD00210"/>
    <s v="2025-03-11"/>
    <x v="0"/>
    <x v="0"/>
    <s v="Odisha"/>
    <s v="Bhubaneswar"/>
    <x v="2"/>
    <s v="Printer Paper"/>
    <s v="Printer Paper"/>
    <s v="Sneha"/>
    <s v="Retail"/>
    <n v="8"/>
    <n v="23101"/>
    <n v="5"/>
    <n v="175567.6"/>
    <n v="17726.07"/>
  </r>
  <r>
    <s v="ORD00211"/>
    <s v="2026-01-28"/>
    <x v="4"/>
    <x v="3"/>
    <s v="Gujarat"/>
    <s v="Ahmedabad"/>
    <x v="0"/>
    <s v="Table"/>
    <s v="Table"/>
    <s v="Vicky"/>
    <s v="Corporate"/>
    <n v="4"/>
    <n v="45334"/>
    <n v="20"/>
    <n v="145068.79999999999"/>
    <n v="16301.64"/>
  </r>
  <r>
    <s v="ORD00212"/>
    <s v="2025-02-01"/>
    <x v="9"/>
    <x v="0"/>
    <s v="Odisha"/>
    <s v="Bhubaneswar"/>
    <x v="1"/>
    <s v="Monitor"/>
    <s v="Monitor"/>
    <s v="Vicky"/>
    <s v="Retail"/>
    <n v="8"/>
    <n v="28908"/>
    <n v="0"/>
    <n v="231264"/>
    <n v="41337.199999999997"/>
  </r>
  <r>
    <s v="ORD00213"/>
    <s v="2026-06-03"/>
    <x v="1"/>
    <x v="0"/>
    <s v="Odisha"/>
    <s v="Bhubaneswar"/>
    <x v="1"/>
    <s v="Monitor"/>
    <s v="Monitor"/>
    <s v="Arun"/>
    <s v="Retail"/>
    <n v="9"/>
    <n v="35872"/>
    <n v="20"/>
    <n v="258278.39999999999"/>
    <n v="75600.95"/>
  </r>
  <r>
    <s v="ORD00214"/>
    <s v="2025-05-07"/>
    <x v="6"/>
    <x v="0"/>
    <s v="West Bengal"/>
    <s v="Kolkata"/>
    <x v="0"/>
    <s v="Sofa"/>
    <s v="Sofa"/>
    <s v="Rahul"/>
    <s v="Corporate"/>
    <n v="5"/>
    <n v="4692"/>
    <n v="0"/>
    <n v="23460"/>
    <n v="1573.67"/>
  </r>
  <r>
    <s v="ORD00215"/>
    <s v="2025-12-30"/>
    <x v="3"/>
    <x v="2"/>
    <s v="Delhi"/>
    <s v="Delhi"/>
    <x v="0"/>
    <s v="Sofa"/>
    <s v="Sofa"/>
    <s v="John"/>
    <s v="Corporate"/>
    <n v="6"/>
    <n v="13353"/>
    <n v="5"/>
    <n v="76112.100000000006"/>
    <n v="11376.87"/>
  </r>
  <r>
    <s v="ORD00216"/>
    <s v="2025-01-08"/>
    <x v="4"/>
    <x v="0"/>
    <s v="West Bengal"/>
    <s v="Kolkata"/>
    <x v="2"/>
    <s v="Stapler"/>
    <s v="Stapler"/>
    <s v="Priya"/>
    <s v="Retail"/>
    <n v="1"/>
    <n v="24769"/>
    <n v="15"/>
    <n v="21053.65"/>
    <n v="3434.13"/>
  </r>
  <r>
    <s v="ORD00217"/>
    <s v="2025-09-28"/>
    <x v="10"/>
    <x v="0"/>
    <s v="Odisha"/>
    <s v="Bhubaneswar"/>
    <x v="0"/>
    <s v="Chair"/>
    <s v="Chair"/>
    <s v="Vicky"/>
    <s v="Corporate"/>
    <n v="5"/>
    <n v="23600"/>
    <n v="20"/>
    <n v="94400"/>
    <n v="17852.89"/>
  </r>
  <r>
    <s v="ORD00218"/>
    <s v="2025-08-10"/>
    <x v="8"/>
    <x v="3"/>
    <s v="Gujarat"/>
    <s v="Ahmedabad"/>
    <x v="2"/>
    <s v="Notebook"/>
    <s v="Notebook"/>
    <s v="Priya"/>
    <s v="Retail"/>
    <n v="1"/>
    <n v="28040"/>
    <n v="10"/>
    <n v="25236"/>
    <n v="6525.57"/>
  </r>
  <r>
    <s v="ORD00219"/>
    <s v="2025-03-04"/>
    <x v="0"/>
    <x v="1"/>
    <s v="Karnataka"/>
    <s v="Bengaluru"/>
    <x v="0"/>
    <s v="Desk"/>
    <s v="Desk"/>
    <s v="Arun"/>
    <s v="Retail"/>
    <n v="7"/>
    <n v="10109"/>
    <n v="5"/>
    <n v="67224.850000000006"/>
    <n v="4020.82"/>
  </r>
  <r>
    <s v="ORD00220"/>
    <s v="2025-04-12"/>
    <x v="2"/>
    <x v="0"/>
    <s v="Odisha"/>
    <s v="Bhubaneswar"/>
    <x v="0"/>
    <s v="Sofa"/>
    <s v="Sofa"/>
    <s v="Meena"/>
    <s v="Retail"/>
    <n v="4"/>
    <n v="31895"/>
    <n v="0"/>
    <n v="127580"/>
    <n v="9909.81"/>
  </r>
  <r>
    <s v="ORD00221"/>
    <s v="2025-01-14"/>
    <x v="4"/>
    <x v="2"/>
    <s v="Delhi"/>
    <s v="Delhi"/>
    <x v="0"/>
    <s v="Desk"/>
    <s v="Desk"/>
    <s v="Amit"/>
    <s v="Retail"/>
    <n v="6"/>
    <n v="23884"/>
    <n v="5"/>
    <n v="136138.79999999999"/>
    <n v="25223.59"/>
  </r>
  <r>
    <s v="ORD00222"/>
    <s v="2026-04-26"/>
    <x v="2"/>
    <x v="1"/>
    <s v="Tamil Nadu"/>
    <s v="Chennai"/>
    <x v="0"/>
    <s v="Desk"/>
    <s v="Desk"/>
    <s v="Amit"/>
    <s v="Corporate"/>
    <n v="8"/>
    <n v="25798"/>
    <n v="5"/>
    <n v="196064.8"/>
    <n v="51496.31"/>
  </r>
  <r>
    <s v="ORD00223"/>
    <s v="2026-01-28"/>
    <x v="4"/>
    <x v="3"/>
    <s v="Maharashtra"/>
    <s v="Mumbai"/>
    <x v="2"/>
    <s v="Notebook"/>
    <s v="Notebook"/>
    <s v="Arun"/>
    <s v="Corporate"/>
    <n v="1"/>
    <n v="774"/>
    <n v="20"/>
    <n v="619.20000000000005"/>
    <n v="115.8"/>
  </r>
  <r>
    <s v="ORD00224"/>
    <s v="2025-12-01"/>
    <x v="3"/>
    <x v="0"/>
    <s v="West Bengal"/>
    <s v="Kolkata"/>
    <x v="0"/>
    <s v="Desk"/>
    <s v="Desk"/>
    <s v="Rahul"/>
    <s v="Corporate"/>
    <n v="8"/>
    <n v="11253"/>
    <n v="0"/>
    <n v="90024"/>
    <n v="14327.41"/>
  </r>
  <r>
    <s v="ORD00225"/>
    <s v="2025-09-03"/>
    <x v="10"/>
    <x v="2"/>
    <s v="Delhi"/>
    <s v="Delhi"/>
    <x v="2"/>
    <s v="Pen"/>
    <s v="Pen"/>
    <s v="Priya"/>
    <s v="Corporate"/>
    <n v="1"/>
    <n v="11865"/>
    <n v="10"/>
    <n v="10678.5"/>
    <n v="2398.54"/>
  </r>
  <r>
    <s v="ORD00226"/>
    <s v="2026-03-10"/>
    <x v="0"/>
    <x v="0"/>
    <s v="West Bengal"/>
    <s v="Kolkata"/>
    <x v="1"/>
    <s v="Keyboard"/>
    <s v="Keyboard"/>
    <s v="Meena"/>
    <s v="Retail"/>
    <n v="6"/>
    <n v="41369"/>
    <n v="5"/>
    <n v="235803.3"/>
    <n v="46597.21"/>
  </r>
  <r>
    <s v="ORD00227"/>
    <s v="2026-05-04"/>
    <x v="6"/>
    <x v="2"/>
    <s v="Delhi"/>
    <s v="Delhi"/>
    <x v="2"/>
    <s v="Pen"/>
    <s v="Pen"/>
    <s v="John"/>
    <s v="Retail"/>
    <n v="6"/>
    <n v="30510"/>
    <n v="0"/>
    <n v="183060"/>
    <n v="12331.4"/>
  </r>
  <r>
    <s v="ORD00228"/>
    <s v="2026-02-28"/>
    <x v="9"/>
    <x v="3"/>
    <s v="Maharashtra"/>
    <s v="Mumbai"/>
    <x v="1"/>
    <s v="Monitor"/>
    <s v="Monitor"/>
    <s v="Amit"/>
    <s v="Corporate"/>
    <n v="10"/>
    <n v="23601"/>
    <n v="15"/>
    <n v="200608.5"/>
    <n v="42620.7"/>
  </r>
  <r>
    <s v="ORD00229"/>
    <s v="2025-08-31"/>
    <x v="8"/>
    <x v="1"/>
    <s v="Karnataka"/>
    <s v="Bengaluru"/>
    <x v="2"/>
    <s v="Stapler"/>
    <s v="Stapler"/>
    <s v="Rahul"/>
    <s v="Retail"/>
    <n v="2"/>
    <n v="13384"/>
    <n v="20"/>
    <n v="21414.400000000001"/>
    <n v="1229.71"/>
  </r>
  <r>
    <s v="ORD00230"/>
    <s v="2025-09-20"/>
    <x v="10"/>
    <x v="0"/>
    <s v="West Bengal"/>
    <s v="Kolkata"/>
    <x v="1"/>
    <s v="Laptop"/>
    <s v="Laptop"/>
    <s v="Meena"/>
    <s v="Corporate"/>
    <n v="3"/>
    <n v="22891"/>
    <n v="0"/>
    <n v="68673"/>
    <n v="5469.01"/>
  </r>
  <r>
    <s v="ORD00231"/>
    <s v="2025-01-23"/>
    <x v="4"/>
    <x v="0"/>
    <s v="Odisha"/>
    <s v="Bhubaneswar"/>
    <x v="1"/>
    <s v="Monitor"/>
    <s v="Monitor"/>
    <s v="Meena"/>
    <s v="Retail"/>
    <n v="9"/>
    <n v="19371"/>
    <n v="10"/>
    <n v="156905.1"/>
    <n v="37604.17"/>
  </r>
  <r>
    <s v="ORD00232"/>
    <s v="2025-06-06"/>
    <x v="1"/>
    <x v="2"/>
    <s v="Chandigarh"/>
    <s v="Chandigarh"/>
    <x v="1"/>
    <s v="Monitor"/>
    <s v="Monitor"/>
    <s v="Arun"/>
    <s v="Corporate"/>
    <n v="9"/>
    <n v="12305"/>
    <n v="0"/>
    <n v="110745"/>
    <n v="15066.54"/>
  </r>
  <r>
    <s v="ORD00233"/>
    <s v="2025-08-24"/>
    <x v="8"/>
    <x v="0"/>
    <s v="Odisha"/>
    <s v="Bhubaneswar"/>
    <x v="1"/>
    <s v="Monitor"/>
    <s v="Monitor"/>
    <s v="Sneha"/>
    <s v="Corporate"/>
    <n v="6"/>
    <n v="23291"/>
    <n v="5"/>
    <n v="132758.70000000001"/>
    <n v="6688.84"/>
  </r>
  <r>
    <s v="ORD00234"/>
    <s v="2026-02-08"/>
    <x v="9"/>
    <x v="3"/>
    <s v="Gujarat"/>
    <s v="Ahmedabad"/>
    <x v="2"/>
    <s v="Printer Paper"/>
    <s v="Printer Paper"/>
    <s v="Sneha"/>
    <s v="Retail"/>
    <n v="3"/>
    <n v="34073"/>
    <n v="0"/>
    <n v="102219"/>
    <n v="21031.91"/>
  </r>
  <r>
    <s v="ORD00235"/>
    <s v="2025-02-25"/>
    <x v="9"/>
    <x v="2"/>
    <s v="Delhi"/>
    <s v="Delhi"/>
    <x v="0"/>
    <s v="Desk"/>
    <s v="Desk"/>
    <s v="Priya"/>
    <s v="Corporate"/>
    <n v="10"/>
    <n v="22607"/>
    <n v="10"/>
    <n v="203463"/>
    <n v="30747.61"/>
  </r>
  <r>
    <s v="ORD00236"/>
    <s v="2025-03-12"/>
    <x v="0"/>
    <x v="2"/>
    <s v="Delhi"/>
    <s v="Delhi"/>
    <x v="2"/>
    <s v="Notebook"/>
    <s v="Notebook"/>
    <s v="Rahul"/>
    <s v="Retail"/>
    <n v="10"/>
    <n v="21802"/>
    <n v="15"/>
    <n v="185317"/>
    <n v="20368.87"/>
  </r>
  <r>
    <s v="ORD00237"/>
    <s v="2025-11-21"/>
    <x v="7"/>
    <x v="2"/>
    <s v="Delhi"/>
    <s v="Delhi"/>
    <x v="1"/>
    <s v="Laptop"/>
    <s v="Laptop"/>
    <s v="Priya"/>
    <s v="Corporate"/>
    <n v="6"/>
    <n v="3393"/>
    <n v="20"/>
    <n v="16286.4"/>
    <n v="1779.74"/>
  </r>
  <r>
    <s v="ORD00238"/>
    <s v="2026-05-28"/>
    <x v="6"/>
    <x v="0"/>
    <s v="West Bengal"/>
    <s v="Kolkata"/>
    <x v="2"/>
    <s v="Pen"/>
    <s v="Pen"/>
    <s v="Arun"/>
    <s v="Corporate"/>
    <n v="1"/>
    <n v="25203"/>
    <n v="5"/>
    <n v="23942.85"/>
    <n v="6534.68"/>
  </r>
  <r>
    <s v="ORD00239"/>
    <s v="2025-04-27"/>
    <x v="2"/>
    <x v="2"/>
    <s v="Delhi"/>
    <s v="Delhi"/>
    <x v="1"/>
    <s v="Monitor"/>
    <s v="Monitor"/>
    <s v="Arun"/>
    <s v="Corporate"/>
    <n v="1"/>
    <n v="15924"/>
    <n v="20"/>
    <n v="12739.2"/>
    <n v="3101.13"/>
  </r>
  <r>
    <s v="ORD00240"/>
    <s v="2025-11-14"/>
    <x v="7"/>
    <x v="1"/>
    <s v="Tamil Nadu"/>
    <s v="Chennai"/>
    <x v="0"/>
    <s v="Desk"/>
    <s v="Desk"/>
    <s v="Vicky"/>
    <s v="Retail"/>
    <n v="6"/>
    <n v="13202"/>
    <n v="15"/>
    <n v="67330.2"/>
    <n v="5064.1499999999996"/>
  </r>
  <r>
    <s v="ORD00241"/>
    <s v="2025-12-25"/>
    <x v="3"/>
    <x v="1"/>
    <s v="Tamil Nadu"/>
    <s v="Chennai"/>
    <x v="0"/>
    <s v="Sofa"/>
    <s v="Sofa"/>
    <s v="Meena"/>
    <s v="Corporate"/>
    <n v="1"/>
    <n v="46095"/>
    <n v="15"/>
    <n v="39180.75"/>
    <n v="5805.74"/>
  </r>
  <r>
    <s v="ORD00242"/>
    <s v="2025-09-29"/>
    <x v="10"/>
    <x v="0"/>
    <s v="Odisha"/>
    <s v="Bhubaneswar"/>
    <x v="0"/>
    <s v="Table"/>
    <s v="Table"/>
    <s v="Amit"/>
    <s v="Corporate"/>
    <n v="6"/>
    <n v="25687"/>
    <n v="10"/>
    <n v="138709.79999999999"/>
    <n v="17725.12"/>
  </r>
  <r>
    <s v="ORD00243"/>
    <s v="2025-04-19"/>
    <x v="2"/>
    <x v="1"/>
    <s v="Tamil Nadu"/>
    <s v="Chennai"/>
    <x v="2"/>
    <s v="Stapler"/>
    <s v="Stapler"/>
    <s v="John"/>
    <s v="Retail"/>
    <n v="6"/>
    <n v="39135"/>
    <n v="15"/>
    <n v="199588.5"/>
    <n v="24940.23"/>
  </r>
  <r>
    <s v="ORD00244"/>
    <s v="2025-02-02"/>
    <x v="9"/>
    <x v="3"/>
    <s v="Maharashtra"/>
    <s v="Mumbai"/>
    <x v="2"/>
    <s v="Stapler"/>
    <s v="Stapler"/>
    <s v="Rahul"/>
    <s v="Retail"/>
    <n v="2"/>
    <n v="49926"/>
    <n v="0"/>
    <n v="99852"/>
    <n v="20080.91"/>
  </r>
  <r>
    <s v="ORD00245"/>
    <s v="2025-07-13"/>
    <x v="5"/>
    <x v="3"/>
    <s v="Maharashtra"/>
    <s v="Mumbai"/>
    <x v="1"/>
    <s v="Mobile"/>
    <s v="Mobile"/>
    <s v="Sneha"/>
    <s v="Corporate"/>
    <n v="9"/>
    <n v="24432"/>
    <n v="15"/>
    <n v="186904.8"/>
    <n v="48117.440000000002"/>
  </r>
  <r>
    <s v="ORD00246"/>
    <s v="2025-12-20"/>
    <x v="3"/>
    <x v="0"/>
    <s v="Odisha"/>
    <s v="Bhubaneswar"/>
    <x v="2"/>
    <s v="Notebook"/>
    <s v="Notebook"/>
    <s v="Sneha"/>
    <s v="Retail"/>
    <n v="10"/>
    <n v="19460"/>
    <n v="10"/>
    <n v="175140"/>
    <n v="52057.09"/>
  </r>
  <r>
    <s v="ORD00247"/>
    <s v="2026-02-01"/>
    <x v="9"/>
    <x v="2"/>
    <s v="Chandigarh"/>
    <s v="Chandigarh"/>
    <x v="1"/>
    <s v="Keyboard"/>
    <s v="Keyboard"/>
    <s v="Rahul"/>
    <s v="Retail"/>
    <n v="10"/>
    <n v="28533"/>
    <n v="15"/>
    <n v="242530.5"/>
    <n v="41793.86"/>
  </r>
  <r>
    <s v="ORD00248"/>
    <s v="2026-05-01"/>
    <x v="6"/>
    <x v="0"/>
    <s v="West Bengal"/>
    <s v="Kolkata"/>
    <x v="2"/>
    <s v="Printer Paper"/>
    <s v="Printer Paper"/>
    <s v="Meena"/>
    <s v="Retail"/>
    <n v="1"/>
    <n v="47928"/>
    <n v="10"/>
    <n v="43135.199999999997"/>
    <n v="3137.32"/>
  </r>
  <r>
    <s v="ORD00249"/>
    <s v="2025-11-19"/>
    <x v="7"/>
    <x v="3"/>
    <s v="Gujarat"/>
    <s v="Ahmedabad"/>
    <x v="0"/>
    <s v="Table"/>
    <s v="Table"/>
    <s v="Amit"/>
    <s v="Retail"/>
    <n v="4"/>
    <n v="45415"/>
    <n v="15"/>
    <n v="154411"/>
    <n v="29002.67"/>
  </r>
  <r>
    <s v="ORD00250"/>
    <s v="2025-01-22"/>
    <x v="4"/>
    <x v="3"/>
    <s v="Maharashtra"/>
    <s v="Mumbai"/>
    <x v="2"/>
    <s v="Stapler"/>
    <s v="Stapler"/>
    <s v="John"/>
    <s v="Retail"/>
    <n v="2"/>
    <n v="49238"/>
    <n v="15"/>
    <n v="83704.600000000006"/>
    <n v="18442.12"/>
  </r>
  <r>
    <s v="ORD00251"/>
    <s v="2025-03-12"/>
    <x v="0"/>
    <x v="0"/>
    <s v="Odisha"/>
    <s v="Bhubaneswar"/>
    <x v="1"/>
    <s v="Mobile"/>
    <s v="Mobile"/>
    <s v="Sneha"/>
    <s v="Retail"/>
    <n v="3"/>
    <n v="43344"/>
    <n v="0"/>
    <n v="130032"/>
    <n v="27906.05"/>
  </r>
  <r>
    <s v="ORD00252"/>
    <s v="2026-04-11"/>
    <x v="2"/>
    <x v="0"/>
    <s v="Odisha"/>
    <s v="Bhubaneswar"/>
    <x v="1"/>
    <s v="Laptop"/>
    <s v="Laptop"/>
    <s v="Amit"/>
    <s v="Retail"/>
    <n v="6"/>
    <n v="9892"/>
    <n v="10"/>
    <n v="53416.800000000003"/>
    <n v="15363.43"/>
  </r>
  <r>
    <s v="ORD00253"/>
    <s v="2025-05-26"/>
    <x v="6"/>
    <x v="3"/>
    <s v="Maharashtra"/>
    <s v="Mumbai"/>
    <x v="1"/>
    <s v="Keyboard"/>
    <s v="Keyboard"/>
    <s v="Rahul"/>
    <s v="Retail"/>
    <n v="10"/>
    <n v="39594"/>
    <n v="20"/>
    <n v="316752"/>
    <n v="71749.64"/>
  </r>
  <r>
    <s v="ORD00254"/>
    <s v="2025-07-16"/>
    <x v="5"/>
    <x v="3"/>
    <s v="Maharashtra"/>
    <s v="Mumbai"/>
    <x v="2"/>
    <s v="Pen"/>
    <s v="Pen"/>
    <s v="Rahul"/>
    <s v="Retail"/>
    <n v="1"/>
    <n v="20317"/>
    <n v="5"/>
    <n v="19301.150000000001"/>
    <n v="3683.89"/>
  </r>
  <r>
    <s v="ORD00255"/>
    <s v="2025-06-07"/>
    <x v="1"/>
    <x v="2"/>
    <s v="Chandigarh"/>
    <s v="Chandigarh"/>
    <x v="2"/>
    <s v="Stapler"/>
    <s v="Stapler"/>
    <s v="Amit"/>
    <s v="Corporate"/>
    <n v="2"/>
    <n v="1476"/>
    <n v="5"/>
    <n v="2804.4"/>
    <n v="520.48"/>
  </r>
  <r>
    <s v="ORD00256"/>
    <s v="2025-07-28"/>
    <x v="5"/>
    <x v="0"/>
    <s v="Odisha"/>
    <s v="Bhubaneswar"/>
    <x v="1"/>
    <s v="Laptop"/>
    <s v="Laptop"/>
    <s v="Arun"/>
    <s v="Corporate"/>
    <n v="7"/>
    <n v="31463"/>
    <n v="20"/>
    <n v="176192.8"/>
    <n v="9504.3700000000008"/>
  </r>
  <r>
    <s v="ORD00257"/>
    <s v="2025-09-20"/>
    <x v="10"/>
    <x v="2"/>
    <s v="Delhi"/>
    <s v="Delhi"/>
    <x v="0"/>
    <s v="Chair"/>
    <s v="Chair"/>
    <s v="Arun"/>
    <s v="Corporate"/>
    <n v="4"/>
    <n v="43612"/>
    <n v="15"/>
    <n v="148280.79999999999"/>
    <n v="38022.379999999997"/>
  </r>
  <r>
    <s v="ORD00258"/>
    <s v="2025-05-23"/>
    <x v="6"/>
    <x v="2"/>
    <s v="Delhi"/>
    <s v="Delhi"/>
    <x v="2"/>
    <s v="Stapler"/>
    <s v="Stapler"/>
    <s v="Rahul"/>
    <s v="Retail"/>
    <n v="6"/>
    <n v="37402"/>
    <n v="10"/>
    <n v="201970.8"/>
    <n v="15127.4"/>
  </r>
  <r>
    <s v="ORD00259"/>
    <s v="2025-02-02"/>
    <x v="9"/>
    <x v="3"/>
    <s v="Maharashtra"/>
    <s v="Mumbai"/>
    <x v="0"/>
    <s v="Desk"/>
    <s v="Desk"/>
    <s v="Vicky"/>
    <s v="Retail"/>
    <n v="10"/>
    <n v="40154"/>
    <n v="5"/>
    <n v="381463"/>
    <n v="99422.35"/>
  </r>
  <r>
    <s v="ORD00260"/>
    <s v="2025-11-16"/>
    <x v="7"/>
    <x v="0"/>
    <s v="Odisha"/>
    <s v="Bhubaneswar"/>
    <x v="2"/>
    <s v="Notebook"/>
    <s v="Notebook"/>
    <s v="Amit"/>
    <s v="Corporate"/>
    <n v="6"/>
    <n v="15724"/>
    <n v="15"/>
    <n v="80192.399999999994"/>
    <n v="4902.18"/>
  </r>
  <r>
    <s v="ORD00261"/>
    <s v="2025-01-14"/>
    <x v="4"/>
    <x v="3"/>
    <s v="Gujarat"/>
    <s v="Ahmedabad"/>
    <x v="1"/>
    <s v="Laptop"/>
    <s v="Laptop"/>
    <s v="Arun"/>
    <s v="Corporate"/>
    <n v="8"/>
    <n v="47495"/>
    <n v="15"/>
    <n v="322966"/>
    <n v="44143.21"/>
  </r>
  <r>
    <s v="ORD00262"/>
    <s v="2025-01-20"/>
    <x v="4"/>
    <x v="0"/>
    <s v="Odisha"/>
    <s v="Bhubaneswar"/>
    <x v="2"/>
    <s v="Notebook"/>
    <s v="Notebook"/>
    <s v="John"/>
    <s v="Corporate"/>
    <n v="7"/>
    <n v="20671"/>
    <n v="15"/>
    <n v="122992.45"/>
    <n v="26982.37"/>
  </r>
  <r>
    <s v="ORD00263"/>
    <s v="2025-08-17"/>
    <x v="8"/>
    <x v="2"/>
    <s v="Chandigarh"/>
    <s v="Chandigarh"/>
    <x v="2"/>
    <s v="Printer Paper"/>
    <s v="Printer Paper"/>
    <s v="Priya"/>
    <s v="Retail"/>
    <n v="8"/>
    <n v="27636"/>
    <n v="5"/>
    <n v="210033.6"/>
    <n v="53423.07"/>
  </r>
  <r>
    <s v="ORD00264"/>
    <s v="2026-01-28"/>
    <x v="4"/>
    <x v="0"/>
    <s v="Odisha"/>
    <s v="Bhubaneswar"/>
    <x v="2"/>
    <s v="Stapler"/>
    <s v="Stapler"/>
    <s v="Vicky"/>
    <s v="Corporate"/>
    <n v="2"/>
    <n v="46259"/>
    <n v="20"/>
    <n v="74014.399999999994"/>
    <n v="18833.400000000001"/>
  </r>
  <r>
    <s v="ORD00265"/>
    <s v="2025-09-05"/>
    <x v="10"/>
    <x v="3"/>
    <s v="Maharashtra"/>
    <s v="Mumbai"/>
    <x v="0"/>
    <s v="Chair"/>
    <s v="Chair"/>
    <s v="John"/>
    <s v="Retail"/>
    <n v="4"/>
    <n v="47522"/>
    <n v="0"/>
    <n v="190088"/>
    <n v="33327.71"/>
  </r>
  <r>
    <s v="ORD00266"/>
    <s v="2026-02-19"/>
    <x v="9"/>
    <x v="2"/>
    <s v="Chandigarh"/>
    <s v="Chandigarh"/>
    <x v="0"/>
    <s v="Chair"/>
    <s v="Chair"/>
    <s v="Priya"/>
    <s v="Retail"/>
    <n v="1"/>
    <n v="3520"/>
    <n v="5"/>
    <n v="3344"/>
    <n v="961.73"/>
  </r>
  <r>
    <s v="ORD00267"/>
    <s v="2025-11-20"/>
    <x v="7"/>
    <x v="2"/>
    <s v="Delhi"/>
    <s v="Delhi"/>
    <x v="2"/>
    <s v="Stapler"/>
    <s v="Stapler"/>
    <s v="Priya"/>
    <s v="Corporate"/>
    <n v="9"/>
    <n v="14666"/>
    <n v="0"/>
    <n v="131994"/>
    <n v="9610.39"/>
  </r>
  <r>
    <s v="ORD00268"/>
    <s v="2026-02-15"/>
    <x v="9"/>
    <x v="3"/>
    <s v="Gujarat"/>
    <s v="Ahmedabad"/>
    <x v="0"/>
    <s v="Table"/>
    <s v="Table"/>
    <s v="Priya"/>
    <s v="Corporate"/>
    <n v="6"/>
    <n v="9912"/>
    <n v="0"/>
    <n v="59472"/>
    <n v="8430.69"/>
  </r>
  <r>
    <s v="ORD00269"/>
    <s v="2026-02-01"/>
    <x v="9"/>
    <x v="3"/>
    <s v="Gujarat"/>
    <s v="Ahmedabad"/>
    <x v="0"/>
    <s v="Chair"/>
    <s v="Chair"/>
    <s v="Arun"/>
    <s v="Corporate"/>
    <n v="4"/>
    <n v="38343"/>
    <n v="20"/>
    <n v="122697.60000000001"/>
    <n v="14561.29"/>
  </r>
  <r>
    <s v="ORD00270"/>
    <s v="2026-06-04"/>
    <x v="1"/>
    <x v="2"/>
    <s v="Chandigarh"/>
    <s v="Chandigarh"/>
    <x v="0"/>
    <s v="Chair"/>
    <s v="Chair"/>
    <s v="John"/>
    <s v="Corporate"/>
    <n v="3"/>
    <n v="39488"/>
    <n v="20"/>
    <n v="94771.199999999997"/>
    <n v="27954.51"/>
  </r>
  <r>
    <s v="ORD00271"/>
    <s v="2025-12-27"/>
    <x v="3"/>
    <x v="1"/>
    <s v="Tamil Nadu"/>
    <s v="Chennai"/>
    <x v="0"/>
    <s v="Sofa"/>
    <s v="Sofa"/>
    <s v="Arun"/>
    <s v="Retail"/>
    <n v="4"/>
    <n v="16352"/>
    <n v="15"/>
    <n v="55596.800000000003"/>
    <n v="15883.72"/>
  </r>
  <r>
    <s v="ORD00272"/>
    <s v="2025-02-20"/>
    <x v="9"/>
    <x v="3"/>
    <s v="Gujarat"/>
    <s v="Ahmedabad"/>
    <x v="0"/>
    <s v="Sofa"/>
    <s v="Sofa"/>
    <s v="John"/>
    <s v="Corporate"/>
    <n v="9"/>
    <n v="4028"/>
    <n v="20"/>
    <n v="29001.599999999999"/>
    <n v="4438.7299999999996"/>
  </r>
  <r>
    <s v="ORD00273"/>
    <s v="2025-09-25"/>
    <x v="10"/>
    <x v="1"/>
    <s v="Karnataka"/>
    <s v="Bengaluru"/>
    <x v="1"/>
    <s v="Keyboard"/>
    <s v="Keyboard"/>
    <s v="Meena"/>
    <s v="Corporate"/>
    <n v="9"/>
    <n v="29927"/>
    <n v="5"/>
    <n v="255875.85"/>
    <n v="19645.61"/>
  </r>
  <r>
    <s v="ORD00274"/>
    <s v="2025-07-15"/>
    <x v="5"/>
    <x v="2"/>
    <s v="Chandigarh"/>
    <s v="Chandigarh"/>
    <x v="2"/>
    <s v="Notebook"/>
    <s v="Notebook"/>
    <s v="Meena"/>
    <s v="Retail"/>
    <n v="5"/>
    <n v="16308"/>
    <n v="0"/>
    <n v="81540"/>
    <n v="16781.84"/>
  </r>
  <r>
    <s v="ORD00275"/>
    <s v="2026-03-22"/>
    <x v="0"/>
    <x v="2"/>
    <s v="Delhi"/>
    <s v="Delhi"/>
    <x v="2"/>
    <s v="Pen"/>
    <s v="Pen"/>
    <s v="Rahul"/>
    <s v="Retail"/>
    <n v="7"/>
    <n v="25226"/>
    <n v="20"/>
    <n v="141265.60000000001"/>
    <n v="10746.7"/>
  </r>
  <r>
    <s v="ORD00276"/>
    <s v="2025-07-27"/>
    <x v="5"/>
    <x v="3"/>
    <s v="Maharashtra"/>
    <s v="Mumbai"/>
    <x v="1"/>
    <s v="Laptop"/>
    <s v="Laptop"/>
    <s v="Vicky"/>
    <s v="Corporate"/>
    <n v="4"/>
    <n v="13881"/>
    <n v="0"/>
    <n v="55524"/>
    <n v="9350.4599999999991"/>
  </r>
  <r>
    <s v="ORD00277"/>
    <s v="2026-01-07"/>
    <x v="4"/>
    <x v="0"/>
    <s v="Odisha"/>
    <s v="Bhubaneswar"/>
    <x v="2"/>
    <s v="Printer Paper"/>
    <s v="Printer Paper"/>
    <s v="Meena"/>
    <s v="Retail"/>
    <n v="6"/>
    <n v="42536"/>
    <n v="10"/>
    <n v="229694.4"/>
    <n v="65936.06"/>
  </r>
  <r>
    <s v="ORD00278"/>
    <s v="2025-07-01"/>
    <x v="5"/>
    <x v="3"/>
    <s v="Gujarat"/>
    <s v="Ahmedabad"/>
    <x v="0"/>
    <s v="Sofa"/>
    <s v="Sofa"/>
    <s v="Priya"/>
    <s v="Retail"/>
    <n v="10"/>
    <n v="13904"/>
    <n v="20"/>
    <n v="111232"/>
    <n v="12731.44"/>
  </r>
  <r>
    <s v="ORD00279"/>
    <s v="2025-10-07"/>
    <x v="11"/>
    <x v="1"/>
    <s v="Tamil Nadu"/>
    <s v="Chennai"/>
    <x v="0"/>
    <s v="Sofa"/>
    <s v="Sofa"/>
    <s v="Sneha"/>
    <s v="Corporate"/>
    <n v="4"/>
    <n v="18272"/>
    <n v="15"/>
    <n v="62124.800000000003"/>
    <n v="10823.08"/>
  </r>
  <r>
    <s v="ORD00280"/>
    <s v="2026-01-13"/>
    <x v="4"/>
    <x v="3"/>
    <s v="Gujarat"/>
    <s v="Ahmedabad"/>
    <x v="0"/>
    <s v="Sofa"/>
    <s v="Sofa"/>
    <s v="Priya"/>
    <s v="Corporate"/>
    <n v="2"/>
    <n v="32730"/>
    <n v="20"/>
    <n v="52368"/>
    <n v="9145.7999999999993"/>
  </r>
  <r>
    <s v="ORD00281"/>
    <s v="2025-12-10"/>
    <x v="3"/>
    <x v="1"/>
    <s v="Karnataka"/>
    <s v="Bengaluru"/>
    <x v="2"/>
    <s v="Notebook"/>
    <s v="Notebook"/>
    <s v="Meena"/>
    <s v="Corporate"/>
    <n v="7"/>
    <n v="46499"/>
    <n v="15"/>
    <n v="276669.05"/>
    <n v="62863.03"/>
  </r>
  <r>
    <s v="ORD00282"/>
    <s v="2025-12-13"/>
    <x v="3"/>
    <x v="1"/>
    <s v="Tamil Nadu"/>
    <s v="Chennai"/>
    <x v="2"/>
    <s v="Pen"/>
    <s v="Pen"/>
    <s v="Sneha"/>
    <s v="Corporate"/>
    <n v="1"/>
    <n v="42454"/>
    <n v="20"/>
    <n v="33963.199999999997"/>
    <n v="10077.69"/>
  </r>
  <r>
    <s v="ORD00283"/>
    <s v="2026-06-20"/>
    <x v="1"/>
    <x v="3"/>
    <s v="Gujarat"/>
    <s v="Ahmedabad"/>
    <x v="0"/>
    <s v="Sofa"/>
    <s v="Sofa"/>
    <s v="John"/>
    <s v="Retail"/>
    <n v="7"/>
    <n v="4396"/>
    <n v="15"/>
    <n v="26156.2"/>
    <n v="1699.04"/>
  </r>
  <r>
    <s v="ORD00284"/>
    <s v="2025-11-01"/>
    <x v="7"/>
    <x v="1"/>
    <s v="Karnataka"/>
    <s v="Bengaluru"/>
    <x v="0"/>
    <s v="Sofa"/>
    <s v="Sofa"/>
    <s v="Sneha"/>
    <s v="Retail"/>
    <n v="9"/>
    <n v="34532"/>
    <n v="20"/>
    <n v="248630.39999999999"/>
    <n v="25111.27"/>
  </r>
  <r>
    <s v="ORD00285"/>
    <s v="2026-02-24"/>
    <x v="9"/>
    <x v="1"/>
    <s v="Tamil Nadu"/>
    <s v="Chennai"/>
    <x v="1"/>
    <s v="Mobile"/>
    <s v="Mobile"/>
    <s v="Vicky"/>
    <s v="Retail"/>
    <n v="1"/>
    <n v="37266"/>
    <n v="10"/>
    <n v="33539.4"/>
    <n v="5655.86"/>
  </r>
  <r>
    <s v="ORD00286"/>
    <s v="2026-04-10"/>
    <x v="2"/>
    <x v="2"/>
    <s v="Chandigarh"/>
    <s v="Chandigarh"/>
    <x v="0"/>
    <s v="Table"/>
    <s v="Table"/>
    <s v="Vicky"/>
    <s v="Retail"/>
    <n v="9"/>
    <n v="46303"/>
    <n v="10"/>
    <n v="375054.3"/>
    <n v="42957"/>
  </r>
  <r>
    <s v="ORD00287"/>
    <s v="2026-06-10"/>
    <x v="1"/>
    <x v="3"/>
    <s v="Maharashtra"/>
    <s v="Mumbai"/>
    <x v="0"/>
    <s v="Chair"/>
    <s v="Chair"/>
    <s v="Vicky"/>
    <s v="Corporate"/>
    <n v="7"/>
    <n v="2309"/>
    <n v="5"/>
    <n v="15354.85"/>
    <n v="1515.52"/>
  </r>
  <r>
    <s v="ORD00288"/>
    <s v="2025-12-08"/>
    <x v="3"/>
    <x v="1"/>
    <s v="Tamil Nadu"/>
    <s v="Chennai"/>
    <x v="0"/>
    <s v="Table"/>
    <s v="Table"/>
    <s v="Arun"/>
    <s v="Retail"/>
    <n v="4"/>
    <n v="6508"/>
    <n v="10"/>
    <n v="23428.799999999999"/>
    <n v="5796.02"/>
  </r>
  <r>
    <s v="ORD00289"/>
    <s v="2026-01-06"/>
    <x v="4"/>
    <x v="0"/>
    <s v="West Bengal"/>
    <s v="Kolkata"/>
    <x v="2"/>
    <s v="Stapler"/>
    <s v="Stapler"/>
    <s v="Vicky"/>
    <s v="Retail"/>
    <n v="4"/>
    <n v="39009"/>
    <n v="0"/>
    <n v="156036"/>
    <n v="33991.870000000003"/>
  </r>
  <r>
    <s v="ORD00290"/>
    <s v="2026-01-23"/>
    <x v="4"/>
    <x v="1"/>
    <s v="Karnataka"/>
    <s v="Bengaluru"/>
    <x v="2"/>
    <s v="Pen"/>
    <s v="Pen"/>
    <s v="Meena"/>
    <s v="Retail"/>
    <n v="4"/>
    <n v="3892"/>
    <n v="5"/>
    <n v="14789.6"/>
    <n v="4029.69"/>
  </r>
  <r>
    <s v="ORD00291"/>
    <s v="2025-09-22"/>
    <x v="10"/>
    <x v="2"/>
    <s v="Chandigarh"/>
    <s v="Chandigarh"/>
    <x v="2"/>
    <s v="Stapler"/>
    <s v="Stapler"/>
    <s v="Amit"/>
    <s v="Retail"/>
    <n v="4"/>
    <n v="15359"/>
    <n v="20"/>
    <n v="49148.800000000003"/>
    <n v="12326.93"/>
  </r>
  <r>
    <s v="ORD00292"/>
    <s v="2026-01-23"/>
    <x v="4"/>
    <x v="1"/>
    <s v="Tamil Nadu"/>
    <s v="Chennai"/>
    <x v="1"/>
    <s v="Mobile"/>
    <s v="Mobile"/>
    <s v="Meena"/>
    <s v="Retail"/>
    <n v="9"/>
    <n v="23064"/>
    <n v="10"/>
    <n v="186818.4"/>
    <n v="38025.94"/>
  </r>
  <r>
    <s v="ORD00293"/>
    <s v="2026-02-24"/>
    <x v="9"/>
    <x v="2"/>
    <s v="Chandigarh"/>
    <s v="Chandigarh"/>
    <x v="2"/>
    <s v="Printer Paper"/>
    <s v="Printer Paper"/>
    <s v="Amit"/>
    <s v="Corporate"/>
    <n v="4"/>
    <n v="49384"/>
    <n v="10"/>
    <n v="177782.39999999999"/>
    <n v="43307.31"/>
  </r>
  <r>
    <s v="ORD00294"/>
    <s v="2025-08-24"/>
    <x v="8"/>
    <x v="1"/>
    <s v="Tamil Nadu"/>
    <s v="Chennai"/>
    <x v="0"/>
    <s v="Chair"/>
    <s v="Chair"/>
    <s v="Vicky"/>
    <s v="Retail"/>
    <n v="5"/>
    <n v="13561"/>
    <n v="20"/>
    <n v="54244"/>
    <n v="3554.88"/>
  </r>
  <r>
    <s v="ORD00295"/>
    <s v="2025-05-28"/>
    <x v="6"/>
    <x v="2"/>
    <s v="Chandigarh"/>
    <s v="Chandigarh"/>
    <x v="1"/>
    <s v="Laptop"/>
    <s v="Laptop"/>
    <s v="Rahul"/>
    <s v="Corporate"/>
    <n v="5"/>
    <n v="24631"/>
    <n v="0"/>
    <n v="123155"/>
    <n v="8201.2099999999991"/>
  </r>
  <r>
    <s v="ORD00296"/>
    <s v="2025-03-20"/>
    <x v="0"/>
    <x v="2"/>
    <s v="Chandigarh"/>
    <s v="Chandigarh"/>
    <x v="2"/>
    <s v="Pen"/>
    <s v="Pen"/>
    <s v="Priya"/>
    <s v="Corporate"/>
    <n v="9"/>
    <n v="20786"/>
    <n v="5"/>
    <n v="177720.3"/>
    <n v="36994.959999999999"/>
  </r>
  <r>
    <s v="ORD00297"/>
    <s v="2026-05-07"/>
    <x v="6"/>
    <x v="1"/>
    <s v="Tamil Nadu"/>
    <s v="Chennai"/>
    <x v="1"/>
    <s v="Monitor"/>
    <s v="Monitor"/>
    <s v="Vicky"/>
    <s v="Retail"/>
    <n v="7"/>
    <n v="22775"/>
    <n v="10"/>
    <n v="143482.5"/>
    <n v="11132.03"/>
  </r>
  <r>
    <s v="ORD00298"/>
    <s v="2025-07-28"/>
    <x v="5"/>
    <x v="3"/>
    <s v="Gujarat"/>
    <s v="Ahmedabad"/>
    <x v="1"/>
    <s v="Monitor"/>
    <s v="Monitor"/>
    <s v="Arun"/>
    <s v="Retail"/>
    <n v="2"/>
    <n v="34747"/>
    <n v="5"/>
    <n v="66019.3"/>
    <n v="13599.3"/>
  </r>
  <r>
    <s v="ORD00299"/>
    <s v="2025-03-08"/>
    <x v="0"/>
    <x v="2"/>
    <s v="Delhi"/>
    <s v="Delhi"/>
    <x v="0"/>
    <s v="Sofa"/>
    <s v="Sofa"/>
    <s v="Rahul"/>
    <s v="Retail"/>
    <n v="6"/>
    <n v="7715"/>
    <n v="10"/>
    <n v="41661"/>
    <n v="6456.56"/>
  </r>
  <r>
    <s v="ORD00300"/>
    <s v="2025-06-13"/>
    <x v="1"/>
    <x v="0"/>
    <s v="West Bengal"/>
    <s v="Kolkata"/>
    <x v="1"/>
    <s v="Keyboard"/>
    <s v="Keyboard"/>
    <s v="Amit"/>
    <s v="Corporate"/>
    <n v="3"/>
    <n v="43215"/>
    <n v="10"/>
    <n v="116680.5"/>
    <n v="32896.21"/>
  </r>
  <r>
    <s v="ORD00301"/>
    <s v="2025-11-04"/>
    <x v="7"/>
    <x v="1"/>
    <s v="Karnataka"/>
    <s v="Bengaluru"/>
    <x v="2"/>
    <s v="Printer Paper"/>
    <s v="Printer Paper"/>
    <s v="Vicky"/>
    <s v="Retail"/>
    <n v="1"/>
    <n v="41695"/>
    <n v="0"/>
    <n v="41695"/>
    <n v="4818.25"/>
  </r>
  <r>
    <s v="ORD00302"/>
    <s v="2025-04-06"/>
    <x v="2"/>
    <x v="2"/>
    <s v="Delhi"/>
    <s v="Delhi"/>
    <x v="2"/>
    <s v="Pen"/>
    <s v="Pen"/>
    <s v="Priya"/>
    <s v="Retail"/>
    <n v="4"/>
    <n v="19437"/>
    <n v="20"/>
    <n v="62198.400000000001"/>
    <n v="5855.1"/>
  </r>
  <r>
    <s v="ORD00303"/>
    <s v="2026-05-18"/>
    <x v="6"/>
    <x v="2"/>
    <s v="Delhi"/>
    <s v="Delhi"/>
    <x v="0"/>
    <s v="Chair"/>
    <s v="Chair"/>
    <s v="Meena"/>
    <s v="Retail"/>
    <n v="5"/>
    <n v="23719"/>
    <n v="10"/>
    <n v="106735.5"/>
    <n v="7403.94"/>
  </r>
  <r>
    <s v="ORD00304"/>
    <s v="2025-06-11"/>
    <x v="1"/>
    <x v="1"/>
    <s v="Karnataka"/>
    <s v="Bengaluru"/>
    <x v="1"/>
    <s v="Laptop"/>
    <s v="Laptop"/>
    <s v="Vicky"/>
    <s v="Retail"/>
    <n v="10"/>
    <n v="17228"/>
    <n v="0"/>
    <n v="172280"/>
    <n v="46008.59"/>
  </r>
  <r>
    <s v="ORD00305"/>
    <s v="2025-10-09"/>
    <x v="11"/>
    <x v="3"/>
    <s v="Maharashtra"/>
    <s v="Mumbai"/>
    <x v="0"/>
    <s v="Chair"/>
    <s v="Chair"/>
    <s v="Arun"/>
    <s v="Retail"/>
    <n v="9"/>
    <n v="31695"/>
    <n v="10"/>
    <n v="256729.5"/>
    <n v="28730.9"/>
  </r>
  <r>
    <s v="ORD00306"/>
    <s v="2025-08-29"/>
    <x v="8"/>
    <x v="1"/>
    <s v="Karnataka"/>
    <s v="Bengaluru"/>
    <x v="1"/>
    <s v="Laptop"/>
    <s v="Laptop"/>
    <s v="Arun"/>
    <s v="Retail"/>
    <n v="8"/>
    <n v="37262"/>
    <n v="0"/>
    <n v="298096"/>
    <n v="34369.769999999997"/>
  </r>
  <r>
    <s v="ORD00307"/>
    <s v="2025-07-05"/>
    <x v="5"/>
    <x v="0"/>
    <s v="West Bengal"/>
    <s v="Kolkata"/>
    <x v="0"/>
    <s v="Desk"/>
    <s v="Desk"/>
    <s v="Meena"/>
    <s v="Retail"/>
    <n v="6"/>
    <n v="31268"/>
    <n v="15"/>
    <n v="159466.79999999999"/>
    <n v="38012.58"/>
  </r>
  <r>
    <s v="ORD00308"/>
    <s v="2025-09-27"/>
    <x v="10"/>
    <x v="2"/>
    <s v="Delhi"/>
    <s v="Delhi"/>
    <x v="2"/>
    <s v="Notebook"/>
    <s v="Notebook"/>
    <s v="Vicky"/>
    <s v="Retail"/>
    <n v="7"/>
    <n v="35842"/>
    <n v="5"/>
    <n v="238349.3"/>
    <n v="32797.480000000003"/>
  </r>
  <r>
    <s v="ORD00309"/>
    <s v="2026-04-27"/>
    <x v="2"/>
    <x v="3"/>
    <s v="Maharashtra"/>
    <s v="Mumbai"/>
    <x v="2"/>
    <s v="Stapler"/>
    <s v="Stapler"/>
    <s v="Arun"/>
    <s v="Retail"/>
    <n v="9"/>
    <n v="45201"/>
    <n v="20"/>
    <n v="325447.2"/>
    <n v="54235.63"/>
  </r>
  <r>
    <s v="ORD00310"/>
    <s v="2025-05-30"/>
    <x v="6"/>
    <x v="1"/>
    <s v="Karnataka"/>
    <s v="Bengaluru"/>
    <x v="1"/>
    <s v="Mobile"/>
    <s v="Mobile"/>
    <s v="Amit"/>
    <s v="Corporate"/>
    <n v="9"/>
    <n v="5475"/>
    <n v="15"/>
    <n v="41883.75"/>
    <n v="3863.06"/>
  </r>
  <r>
    <s v="ORD00311"/>
    <s v="2025-03-03"/>
    <x v="0"/>
    <x v="2"/>
    <s v="Chandigarh"/>
    <s v="Chandigarh"/>
    <x v="1"/>
    <s v="Monitor"/>
    <s v="Monitor"/>
    <s v="Priya"/>
    <s v="Retail"/>
    <n v="10"/>
    <n v="24354"/>
    <n v="0"/>
    <n v="243540"/>
    <n v="40824.03"/>
  </r>
  <r>
    <s v="ORD00312"/>
    <s v="2025-05-26"/>
    <x v="6"/>
    <x v="2"/>
    <s v="Chandigarh"/>
    <s v="Chandigarh"/>
    <x v="0"/>
    <s v="Table"/>
    <s v="Table"/>
    <s v="Sneha"/>
    <s v="Corporate"/>
    <n v="10"/>
    <n v="28613"/>
    <n v="20"/>
    <n v="228904"/>
    <n v="24262.65"/>
  </r>
  <r>
    <s v="ORD00313"/>
    <s v="2025-12-15"/>
    <x v="3"/>
    <x v="2"/>
    <s v="Chandigarh"/>
    <s v="Chandigarh"/>
    <x v="1"/>
    <s v="Mobile"/>
    <s v="Mobile"/>
    <s v="John"/>
    <s v="Retail"/>
    <n v="1"/>
    <n v="49420"/>
    <n v="20"/>
    <n v="39536"/>
    <n v="6875.48"/>
  </r>
  <r>
    <s v="ORD00314"/>
    <s v="2026-04-30"/>
    <x v="2"/>
    <x v="3"/>
    <s v="Maharashtra"/>
    <s v="Mumbai"/>
    <x v="1"/>
    <s v="Laptop"/>
    <s v="Laptop"/>
    <s v="Meena"/>
    <s v="Corporate"/>
    <n v="10"/>
    <n v="45335"/>
    <n v="15"/>
    <n v="385347.5"/>
    <n v="47295.02"/>
  </r>
  <r>
    <s v="ORD00315"/>
    <s v="2025-05-13"/>
    <x v="6"/>
    <x v="0"/>
    <s v="West Bengal"/>
    <s v="Kolkata"/>
    <x v="2"/>
    <s v="Pen"/>
    <s v="Pen"/>
    <s v="Priya"/>
    <s v="Corporate"/>
    <n v="10"/>
    <n v="21363"/>
    <n v="5"/>
    <n v="202948.5"/>
    <n v="22583.84"/>
  </r>
  <r>
    <s v="ORD00316"/>
    <s v="2025-01-20"/>
    <x v="4"/>
    <x v="1"/>
    <s v="Tamil Nadu"/>
    <s v="Chennai"/>
    <x v="1"/>
    <s v="Monitor"/>
    <s v="Monitor"/>
    <s v="Priya"/>
    <s v="Corporate"/>
    <n v="8"/>
    <n v="37511"/>
    <n v="10"/>
    <n v="270079.2"/>
    <n v="21892.27"/>
  </r>
  <r>
    <s v="ORD00317"/>
    <s v="2025-02-20"/>
    <x v="9"/>
    <x v="3"/>
    <s v="Gujarat"/>
    <s v="Ahmedabad"/>
    <x v="1"/>
    <s v="Mobile"/>
    <s v="Mobile"/>
    <s v="Rahul"/>
    <s v="Corporate"/>
    <n v="6"/>
    <n v="16666"/>
    <n v="15"/>
    <n v="84996.6"/>
    <n v="11972.02"/>
  </r>
  <r>
    <s v="ORD00318"/>
    <s v="2025-08-12"/>
    <x v="8"/>
    <x v="0"/>
    <s v="Odisha"/>
    <s v="Bhubaneswar"/>
    <x v="2"/>
    <s v="Stapler"/>
    <s v="Stapler"/>
    <s v="Rahul"/>
    <s v="Corporate"/>
    <n v="5"/>
    <n v="3262"/>
    <n v="5"/>
    <n v="15494.5"/>
    <n v="4079.14"/>
  </r>
  <r>
    <s v="ORD00319"/>
    <s v="2026-02-05"/>
    <x v="9"/>
    <x v="2"/>
    <s v="Delhi"/>
    <s v="Delhi"/>
    <x v="2"/>
    <s v="Printer Paper"/>
    <s v="Printer Paper"/>
    <s v="Vicky"/>
    <s v="Corporate"/>
    <n v="9"/>
    <n v="25923"/>
    <n v="5"/>
    <n v="221641.65"/>
    <n v="27495.91"/>
  </r>
  <r>
    <s v="ORD00320"/>
    <s v="2025-12-06"/>
    <x v="3"/>
    <x v="1"/>
    <s v="Karnataka"/>
    <s v="Bengaluru"/>
    <x v="2"/>
    <s v="Notebook"/>
    <s v="Notebook"/>
    <s v="Priya"/>
    <s v="Retail"/>
    <n v="10"/>
    <n v="48775"/>
    <n v="15"/>
    <n v="414587.5"/>
    <n v="95262.47"/>
  </r>
  <r>
    <s v="ORD00321"/>
    <s v="2025-10-31"/>
    <x v="11"/>
    <x v="1"/>
    <s v="Tamil Nadu"/>
    <s v="Chennai"/>
    <x v="1"/>
    <s v="Keyboard"/>
    <s v="Keyboard"/>
    <s v="Meena"/>
    <s v="Retail"/>
    <n v="7"/>
    <n v="31724"/>
    <n v="20"/>
    <n v="177654.39999999999"/>
    <n v="23652.33"/>
  </r>
  <r>
    <s v="ORD00322"/>
    <s v="2026-05-30"/>
    <x v="6"/>
    <x v="3"/>
    <s v="Maharashtra"/>
    <s v="Mumbai"/>
    <x v="2"/>
    <s v="Notebook"/>
    <s v="Notebook"/>
    <s v="John"/>
    <s v="Corporate"/>
    <n v="10"/>
    <n v="36946"/>
    <n v="5"/>
    <n v="350987"/>
    <n v="32608.77"/>
  </r>
  <r>
    <s v="ORD00323"/>
    <s v="2025-02-07"/>
    <x v="9"/>
    <x v="1"/>
    <s v="Tamil Nadu"/>
    <s v="Chennai"/>
    <x v="1"/>
    <s v="Laptop"/>
    <s v="Laptop"/>
    <s v="Rahul"/>
    <s v="Corporate"/>
    <n v="3"/>
    <n v="49377"/>
    <n v="10"/>
    <n v="133317.9"/>
    <n v="36635.760000000002"/>
  </r>
  <r>
    <s v="ORD00324"/>
    <s v="2025-05-25"/>
    <x v="6"/>
    <x v="3"/>
    <s v="Gujarat"/>
    <s v="Ahmedabad"/>
    <x v="2"/>
    <s v="Stapler"/>
    <s v="Stapler"/>
    <s v="Arun"/>
    <s v="Retail"/>
    <n v="6"/>
    <n v="43972"/>
    <n v="15"/>
    <n v="224257.2"/>
    <n v="15905.49"/>
  </r>
  <r>
    <s v="ORD00325"/>
    <s v="2025-03-16"/>
    <x v="0"/>
    <x v="3"/>
    <s v="Maharashtra"/>
    <s v="Mumbai"/>
    <x v="1"/>
    <s v="Mobile"/>
    <s v="Mobile"/>
    <s v="Rahul"/>
    <s v="Corporate"/>
    <n v="7"/>
    <n v="14904"/>
    <n v="20"/>
    <n v="83462.399999999994"/>
    <n v="17627.14"/>
  </r>
  <r>
    <s v="ORD00326"/>
    <s v="2025-09-09"/>
    <x v="10"/>
    <x v="1"/>
    <s v="Tamil Nadu"/>
    <s v="Chennai"/>
    <x v="0"/>
    <s v="Chair"/>
    <s v="Chair"/>
    <s v="Meena"/>
    <s v="Corporate"/>
    <n v="10"/>
    <n v="2691"/>
    <n v="15"/>
    <n v="22873.5"/>
    <n v="5144.18"/>
  </r>
  <r>
    <s v="ORD00327"/>
    <s v="2025-02-02"/>
    <x v="9"/>
    <x v="1"/>
    <s v="Tamil Nadu"/>
    <s v="Chennai"/>
    <x v="0"/>
    <s v="Sofa"/>
    <s v="Sofa"/>
    <s v="Arun"/>
    <s v="Retail"/>
    <n v="8"/>
    <n v="12702"/>
    <n v="15"/>
    <n v="86373.6"/>
    <n v="10599.88"/>
  </r>
  <r>
    <s v="ORD00328"/>
    <s v="2025-04-16"/>
    <x v="2"/>
    <x v="3"/>
    <s v="Gujarat"/>
    <s v="Ahmedabad"/>
    <x v="1"/>
    <s v="Monitor"/>
    <s v="Monitor"/>
    <s v="Meena"/>
    <s v="Corporate"/>
    <n v="1"/>
    <n v="5571"/>
    <n v="15"/>
    <n v="4735.3500000000004"/>
    <n v="985.08"/>
  </r>
  <r>
    <s v="ORD00329"/>
    <s v="2025-12-12"/>
    <x v="3"/>
    <x v="0"/>
    <s v="West Bengal"/>
    <s v="Kolkata"/>
    <x v="2"/>
    <s v="Stapler"/>
    <s v="Stapler"/>
    <s v="Priya"/>
    <s v="Corporate"/>
    <n v="8"/>
    <n v="32560"/>
    <n v="20"/>
    <n v="208384"/>
    <n v="17124.349999999999"/>
  </r>
  <r>
    <s v="ORD00330"/>
    <s v="2025-12-23"/>
    <x v="3"/>
    <x v="1"/>
    <s v="Tamil Nadu"/>
    <s v="Chennai"/>
    <x v="2"/>
    <s v="Stapler"/>
    <s v="Stapler"/>
    <s v="Meena"/>
    <s v="Retail"/>
    <n v="10"/>
    <n v="49619"/>
    <n v="0"/>
    <n v="496190"/>
    <n v="89513.01"/>
  </r>
  <r>
    <s v="ORD00331"/>
    <s v="2025-06-08"/>
    <x v="1"/>
    <x v="0"/>
    <s v="Odisha"/>
    <s v="Bhubaneswar"/>
    <x v="0"/>
    <s v="Table"/>
    <s v="Table"/>
    <s v="Arun"/>
    <s v="Corporate"/>
    <n v="6"/>
    <n v="35239"/>
    <n v="10"/>
    <n v="190290.6"/>
    <n v="41646.339999999997"/>
  </r>
  <r>
    <s v="ORD00332"/>
    <s v="2025-05-01"/>
    <x v="6"/>
    <x v="1"/>
    <s v="Tamil Nadu"/>
    <s v="Chennai"/>
    <x v="2"/>
    <s v="Notebook"/>
    <s v="Notebook"/>
    <s v="Priya"/>
    <s v="Corporate"/>
    <n v="6"/>
    <n v="27919"/>
    <n v="0"/>
    <n v="167514"/>
    <n v="14469.96"/>
  </r>
  <r>
    <s v="ORD00333"/>
    <s v="2026-04-05"/>
    <x v="2"/>
    <x v="1"/>
    <s v="Karnataka"/>
    <s v="Bengaluru"/>
    <x v="0"/>
    <s v="Desk"/>
    <s v="Desk"/>
    <s v="Meena"/>
    <s v="Retail"/>
    <n v="1"/>
    <n v="25938"/>
    <n v="0"/>
    <n v="25938"/>
    <n v="6916.95"/>
  </r>
  <r>
    <s v="ORD00334"/>
    <s v="2025-09-28"/>
    <x v="10"/>
    <x v="3"/>
    <s v="Gujarat"/>
    <s v="Ahmedabad"/>
    <x v="0"/>
    <s v="Table"/>
    <s v="Table"/>
    <s v="John"/>
    <s v="Corporate"/>
    <n v="9"/>
    <n v="23032"/>
    <n v="0"/>
    <n v="207288"/>
    <n v="48935.62"/>
  </r>
  <r>
    <s v="ORD00335"/>
    <s v="2025-05-17"/>
    <x v="6"/>
    <x v="3"/>
    <s v="Maharashtra"/>
    <s v="Mumbai"/>
    <x v="1"/>
    <s v="Mobile"/>
    <s v="Mobile"/>
    <s v="Amit"/>
    <s v="Retail"/>
    <n v="9"/>
    <n v="15516"/>
    <n v="20"/>
    <n v="111715.2"/>
    <n v="26314.04"/>
  </r>
  <r>
    <s v="ORD00336"/>
    <s v="2026-06-04"/>
    <x v="1"/>
    <x v="2"/>
    <s v="Delhi"/>
    <s v="Delhi"/>
    <x v="2"/>
    <s v="Notebook"/>
    <s v="Notebook"/>
    <s v="Meena"/>
    <s v="Corporate"/>
    <n v="9"/>
    <n v="37664"/>
    <n v="15"/>
    <n v="288129.59999999998"/>
    <n v="71076.55"/>
  </r>
  <r>
    <s v="ORD00337"/>
    <s v="2025-06-22"/>
    <x v="1"/>
    <x v="1"/>
    <s v="Karnataka"/>
    <s v="Bengaluru"/>
    <x v="1"/>
    <s v="Keyboard"/>
    <s v="Keyboard"/>
    <s v="Priya"/>
    <s v="Retail"/>
    <n v="2"/>
    <n v="35967"/>
    <n v="15"/>
    <n v="61143.9"/>
    <n v="18194.87"/>
  </r>
  <r>
    <s v="ORD00338"/>
    <s v="2026-04-16"/>
    <x v="2"/>
    <x v="3"/>
    <s v="Maharashtra"/>
    <s v="Mumbai"/>
    <x v="2"/>
    <s v="Stapler"/>
    <s v="Stapler"/>
    <s v="Meena"/>
    <s v="Retail"/>
    <n v="5"/>
    <n v="45953"/>
    <n v="10"/>
    <n v="206788.5"/>
    <n v="18773.68"/>
  </r>
  <r>
    <s v="ORD00339"/>
    <s v="2025-09-05"/>
    <x v="10"/>
    <x v="0"/>
    <s v="West Bengal"/>
    <s v="Kolkata"/>
    <x v="0"/>
    <s v="Sofa"/>
    <s v="Sofa"/>
    <s v="Sneha"/>
    <s v="Corporate"/>
    <n v="3"/>
    <n v="26374"/>
    <n v="5"/>
    <n v="75165.899999999994"/>
    <n v="21012.36"/>
  </r>
  <r>
    <s v="ORD00340"/>
    <s v="2026-04-18"/>
    <x v="2"/>
    <x v="0"/>
    <s v="Odisha"/>
    <s v="Bhubaneswar"/>
    <x v="1"/>
    <s v="Keyboard"/>
    <s v="Keyboard"/>
    <s v="Rahul"/>
    <s v="Retail"/>
    <n v="8"/>
    <n v="25485"/>
    <n v="5"/>
    <n v="193686"/>
    <n v="31340.79"/>
  </r>
  <r>
    <s v="ORD00341"/>
    <s v="2026-03-02"/>
    <x v="0"/>
    <x v="1"/>
    <s v="Tamil Nadu"/>
    <s v="Chennai"/>
    <x v="0"/>
    <s v="Chair"/>
    <s v="Chair"/>
    <s v="Meena"/>
    <s v="Corporate"/>
    <n v="7"/>
    <n v="7729"/>
    <n v="20"/>
    <n v="43282.400000000001"/>
    <n v="3601.5"/>
  </r>
  <r>
    <s v="ORD00342"/>
    <s v="2025-10-08"/>
    <x v="11"/>
    <x v="1"/>
    <s v="Tamil Nadu"/>
    <s v="Chennai"/>
    <x v="2"/>
    <s v="Stapler"/>
    <s v="Stapler"/>
    <s v="Arun"/>
    <s v="Corporate"/>
    <n v="6"/>
    <n v="16767"/>
    <n v="0"/>
    <n v="100602"/>
    <n v="18023.71"/>
  </r>
  <r>
    <s v="ORD00343"/>
    <s v="2025-11-18"/>
    <x v="7"/>
    <x v="3"/>
    <s v="Maharashtra"/>
    <s v="Mumbai"/>
    <x v="2"/>
    <s v="Printer Paper"/>
    <s v="Printer Paper"/>
    <s v="Arun"/>
    <s v="Retail"/>
    <n v="7"/>
    <n v="28088"/>
    <n v="5"/>
    <n v="186785.2"/>
    <n v="53008.35"/>
  </r>
  <r>
    <s v="ORD00344"/>
    <s v="2025-11-05"/>
    <x v="7"/>
    <x v="2"/>
    <s v="Delhi"/>
    <s v="Delhi"/>
    <x v="0"/>
    <s v="Chair"/>
    <s v="Chair"/>
    <s v="John"/>
    <s v="Retail"/>
    <n v="3"/>
    <n v="32804"/>
    <n v="5"/>
    <n v="93491.4"/>
    <n v="7688.37"/>
  </r>
  <r>
    <s v="ORD00345"/>
    <s v="2025-03-13"/>
    <x v="0"/>
    <x v="0"/>
    <s v="West Bengal"/>
    <s v="Kolkata"/>
    <x v="1"/>
    <s v="Laptop"/>
    <s v="Laptop"/>
    <s v="Meena"/>
    <s v="Corporate"/>
    <n v="6"/>
    <n v="3884"/>
    <n v="5"/>
    <n v="22138.799999999999"/>
    <n v="4145.74"/>
  </r>
  <r>
    <s v="ORD00346"/>
    <s v="2026-02-21"/>
    <x v="9"/>
    <x v="3"/>
    <s v="Gujarat"/>
    <s v="Ahmedabad"/>
    <x v="2"/>
    <s v="Pen"/>
    <s v="Pen"/>
    <s v="Rahul"/>
    <s v="Corporate"/>
    <n v="9"/>
    <n v="43618"/>
    <n v="20"/>
    <n v="314049.59999999998"/>
    <n v="89733.38"/>
  </r>
  <r>
    <s v="ORD00347"/>
    <s v="2025-06-19"/>
    <x v="1"/>
    <x v="2"/>
    <s v="Delhi"/>
    <s v="Delhi"/>
    <x v="1"/>
    <s v="Laptop"/>
    <s v="Laptop"/>
    <s v="Arun"/>
    <s v="Corporate"/>
    <n v="9"/>
    <n v="31805"/>
    <n v="10"/>
    <n v="257620.5"/>
    <n v="74856.92"/>
  </r>
  <r>
    <s v="ORD00348"/>
    <s v="2025-07-28"/>
    <x v="5"/>
    <x v="3"/>
    <s v="Maharashtra"/>
    <s v="Mumbai"/>
    <x v="0"/>
    <s v="Table"/>
    <s v="Table"/>
    <s v="Sneha"/>
    <s v="Retail"/>
    <n v="7"/>
    <n v="4186"/>
    <n v="10"/>
    <n v="26371.8"/>
    <n v="3394.83"/>
  </r>
  <r>
    <s v="ORD00349"/>
    <s v="2026-03-28"/>
    <x v="0"/>
    <x v="1"/>
    <s v="Tamil Nadu"/>
    <s v="Chennai"/>
    <x v="0"/>
    <s v="Desk"/>
    <s v="Desk"/>
    <s v="Rahul"/>
    <s v="Retail"/>
    <n v="5"/>
    <n v="34214"/>
    <n v="20"/>
    <n v="136856"/>
    <n v="39302.69"/>
  </r>
  <r>
    <s v="ORD00350"/>
    <s v="2026-02-19"/>
    <x v="9"/>
    <x v="1"/>
    <s v="Karnataka"/>
    <s v="Bengaluru"/>
    <x v="0"/>
    <s v="Sofa"/>
    <s v="Sofa"/>
    <s v="John"/>
    <s v="Corporate"/>
    <n v="9"/>
    <n v="31320"/>
    <n v="5"/>
    <n v="267786"/>
    <n v="15495.54"/>
  </r>
  <r>
    <s v="ORD00351"/>
    <s v="2025-05-25"/>
    <x v="6"/>
    <x v="3"/>
    <s v="Gujarat"/>
    <s v="Ahmedabad"/>
    <x v="2"/>
    <s v="Notebook"/>
    <s v="Notebook"/>
    <s v="Sneha"/>
    <s v="Retail"/>
    <n v="8"/>
    <n v="27618"/>
    <n v="10"/>
    <n v="198849.6"/>
    <n v="12421.38"/>
  </r>
  <r>
    <s v="ORD00352"/>
    <s v="2025-05-23"/>
    <x v="6"/>
    <x v="1"/>
    <s v="Karnataka"/>
    <s v="Bengaluru"/>
    <x v="1"/>
    <s v="Monitor"/>
    <s v="Monitor"/>
    <s v="Amit"/>
    <s v="Corporate"/>
    <n v="2"/>
    <n v="49055"/>
    <n v="5"/>
    <n v="93204.5"/>
    <n v="7054.46"/>
  </r>
  <r>
    <s v="ORD00353"/>
    <s v="2025-11-01"/>
    <x v="7"/>
    <x v="0"/>
    <s v="West Bengal"/>
    <s v="Kolkata"/>
    <x v="0"/>
    <s v="Sofa"/>
    <s v="Sofa"/>
    <s v="John"/>
    <s v="Corporate"/>
    <n v="6"/>
    <n v="28207"/>
    <n v="0"/>
    <n v="169242"/>
    <n v="44935.45"/>
  </r>
  <r>
    <s v="ORD00354"/>
    <s v="2025-12-18"/>
    <x v="3"/>
    <x v="1"/>
    <s v="Karnataka"/>
    <s v="Bengaluru"/>
    <x v="2"/>
    <s v="Pen"/>
    <s v="Pen"/>
    <s v="Sneha"/>
    <s v="Corporate"/>
    <n v="5"/>
    <n v="18462"/>
    <n v="15"/>
    <n v="78463.5"/>
    <n v="4284.47"/>
  </r>
  <r>
    <s v="ORD00355"/>
    <s v="2026-02-06"/>
    <x v="9"/>
    <x v="1"/>
    <s v="Karnataka"/>
    <s v="Bengaluru"/>
    <x v="2"/>
    <s v="Stapler"/>
    <s v="Stapler"/>
    <s v="Priya"/>
    <s v="Retail"/>
    <n v="3"/>
    <n v="36884"/>
    <n v="20"/>
    <n v="88521.600000000006"/>
    <n v="12935.48"/>
  </r>
  <r>
    <s v="ORD00356"/>
    <s v="2025-10-05"/>
    <x v="11"/>
    <x v="3"/>
    <s v="Maharashtra"/>
    <s v="Mumbai"/>
    <x v="2"/>
    <s v="Stapler"/>
    <s v="Stapler"/>
    <s v="John"/>
    <s v="Retail"/>
    <n v="7"/>
    <n v="18671"/>
    <n v="0"/>
    <n v="130697"/>
    <n v="14672.28"/>
  </r>
  <r>
    <s v="ORD00357"/>
    <s v="2025-01-08"/>
    <x v="4"/>
    <x v="3"/>
    <s v="Maharashtra"/>
    <s v="Mumbai"/>
    <x v="1"/>
    <s v="Monitor"/>
    <s v="Monitor"/>
    <s v="Arun"/>
    <s v="Corporate"/>
    <n v="6"/>
    <n v="25331"/>
    <n v="0"/>
    <n v="151986"/>
    <n v="12121.67"/>
  </r>
  <r>
    <s v="ORD00358"/>
    <s v="2025-11-01"/>
    <x v="7"/>
    <x v="1"/>
    <s v="Tamil Nadu"/>
    <s v="Chennai"/>
    <x v="1"/>
    <s v="Monitor"/>
    <s v="Monitor"/>
    <s v="Meena"/>
    <s v="Corporate"/>
    <n v="9"/>
    <n v="21307"/>
    <n v="10"/>
    <n v="172586.7"/>
    <n v="26683.24"/>
  </r>
  <r>
    <s v="ORD00359"/>
    <s v="2025-06-20"/>
    <x v="1"/>
    <x v="1"/>
    <s v="Tamil Nadu"/>
    <s v="Chennai"/>
    <x v="2"/>
    <s v="Notebook"/>
    <s v="Notebook"/>
    <s v="Meena"/>
    <s v="Retail"/>
    <n v="4"/>
    <n v="45529"/>
    <n v="0"/>
    <n v="182116"/>
    <n v="46309.27"/>
  </r>
  <r>
    <s v="ORD00360"/>
    <s v="2026-04-23"/>
    <x v="2"/>
    <x v="0"/>
    <s v="West Bengal"/>
    <s v="Kolkata"/>
    <x v="1"/>
    <s v="Mobile"/>
    <s v="Mobile"/>
    <s v="Meena"/>
    <s v="Corporate"/>
    <n v="3"/>
    <n v="26744"/>
    <n v="0"/>
    <n v="80232"/>
    <n v="23617.119999999999"/>
  </r>
  <r>
    <s v="ORD00361"/>
    <s v="2025-01-07"/>
    <x v="4"/>
    <x v="0"/>
    <s v="Odisha"/>
    <s v="Bhubaneswar"/>
    <x v="1"/>
    <s v="Monitor"/>
    <s v="Monitor"/>
    <s v="Sneha"/>
    <s v="Retail"/>
    <n v="2"/>
    <n v="42110"/>
    <n v="20"/>
    <n v="67376"/>
    <n v="7060.89"/>
  </r>
  <r>
    <s v="ORD00362"/>
    <s v="2025-10-18"/>
    <x v="11"/>
    <x v="2"/>
    <s v="Chandigarh"/>
    <s v="Chandigarh"/>
    <x v="1"/>
    <s v="Monitor"/>
    <s v="Monitor"/>
    <s v="Arun"/>
    <s v="Corporate"/>
    <n v="10"/>
    <n v="9975"/>
    <n v="5"/>
    <n v="94762.5"/>
    <n v="9556.41"/>
  </r>
  <r>
    <s v="ORD00363"/>
    <s v="2025-01-31"/>
    <x v="4"/>
    <x v="2"/>
    <s v="Chandigarh"/>
    <s v="Chandigarh"/>
    <x v="1"/>
    <s v="Monitor"/>
    <s v="Monitor"/>
    <s v="John"/>
    <s v="Corporate"/>
    <n v="6"/>
    <n v="5544"/>
    <n v="20"/>
    <n v="26611.200000000001"/>
    <n v="4303.92"/>
  </r>
  <r>
    <s v="ORD00364"/>
    <s v="2025-06-21"/>
    <x v="1"/>
    <x v="3"/>
    <s v="Gujarat"/>
    <s v="Ahmedabad"/>
    <x v="2"/>
    <s v="Stapler"/>
    <s v="Stapler"/>
    <s v="Vicky"/>
    <s v="Corporate"/>
    <n v="6"/>
    <n v="21286"/>
    <n v="0"/>
    <n v="127716"/>
    <n v="16461.47"/>
  </r>
  <r>
    <s v="ORD00365"/>
    <s v="2025-08-24"/>
    <x v="8"/>
    <x v="2"/>
    <s v="Delhi"/>
    <s v="Delhi"/>
    <x v="0"/>
    <s v="Chair"/>
    <s v="Chair"/>
    <s v="Rahul"/>
    <s v="Corporate"/>
    <n v="5"/>
    <n v="19192"/>
    <n v="20"/>
    <n v="76768"/>
    <n v="15737.49"/>
  </r>
  <r>
    <s v="ORD00366"/>
    <s v="2025-08-31"/>
    <x v="8"/>
    <x v="3"/>
    <s v="Maharashtra"/>
    <s v="Mumbai"/>
    <x v="2"/>
    <s v="Printer Paper"/>
    <s v="Printer Paper"/>
    <s v="Arun"/>
    <s v="Corporate"/>
    <n v="9"/>
    <n v="20768"/>
    <n v="5"/>
    <n v="177566.4"/>
    <n v="27576.639999999999"/>
  </r>
  <r>
    <s v="ORD00367"/>
    <s v="2025-08-05"/>
    <x v="8"/>
    <x v="3"/>
    <s v="Maharashtra"/>
    <s v="Mumbai"/>
    <x v="2"/>
    <s v="Printer Paper"/>
    <s v="Printer Paper"/>
    <s v="Amit"/>
    <s v="Retail"/>
    <n v="3"/>
    <n v="31457"/>
    <n v="20"/>
    <n v="75496.800000000003"/>
    <n v="18996.810000000001"/>
  </r>
  <r>
    <s v="ORD00368"/>
    <s v="2026-06-19"/>
    <x v="1"/>
    <x v="1"/>
    <s v="Tamil Nadu"/>
    <s v="Chennai"/>
    <x v="0"/>
    <s v="Table"/>
    <s v="Table"/>
    <s v="Meena"/>
    <s v="Retail"/>
    <n v="10"/>
    <n v="35446"/>
    <n v="0"/>
    <n v="354460"/>
    <n v="27478.37"/>
  </r>
  <r>
    <s v="ORD00369"/>
    <s v="2025-03-30"/>
    <x v="0"/>
    <x v="2"/>
    <s v="Chandigarh"/>
    <s v="Chandigarh"/>
    <x v="2"/>
    <s v="Pen"/>
    <s v="Pen"/>
    <s v="Priya"/>
    <s v="Retail"/>
    <n v="4"/>
    <n v="46103"/>
    <n v="20"/>
    <n v="147529.60000000001"/>
    <n v="28453.41"/>
  </r>
  <r>
    <s v="ORD00370"/>
    <s v="2025-09-17"/>
    <x v="10"/>
    <x v="3"/>
    <s v="Maharashtra"/>
    <s v="Mumbai"/>
    <x v="1"/>
    <s v="Mobile"/>
    <s v="Mobile"/>
    <s v="Meena"/>
    <s v="Retail"/>
    <n v="9"/>
    <n v="41354"/>
    <n v="15"/>
    <n v="316358.09999999998"/>
    <n v="49768.51"/>
  </r>
  <r>
    <s v="ORD00371"/>
    <s v="2025-01-22"/>
    <x v="4"/>
    <x v="2"/>
    <s v="Chandigarh"/>
    <s v="Chandigarh"/>
    <x v="2"/>
    <s v="Printer Paper"/>
    <s v="Printer Paper"/>
    <s v="Amit"/>
    <s v="Retail"/>
    <n v="3"/>
    <n v="6672"/>
    <n v="15"/>
    <n v="17013.599999999999"/>
    <n v="4044.49"/>
  </r>
  <r>
    <s v="ORD00372"/>
    <s v="2025-03-27"/>
    <x v="0"/>
    <x v="2"/>
    <s v="Chandigarh"/>
    <s v="Chandigarh"/>
    <x v="0"/>
    <s v="Desk"/>
    <s v="Desk"/>
    <s v="Vicky"/>
    <s v="Corporate"/>
    <n v="5"/>
    <n v="42730"/>
    <n v="5"/>
    <n v="202967.5"/>
    <n v="49610.54"/>
  </r>
  <r>
    <s v="ORD00373"/>
    <s v="2025-09-14"/>
    <x v="10"/>
    <x v="2"/>
    <s v="Delhi"/>
    <s v="Delhi"/>
    <x v="0"/>
    <s v="Table"/>
    <s v="Table"/>
    <s v="Priya"/>
    <s v="Corporate"/>
    <n v="2"/>
    <n v="31612"/>
    <n v="5"/>
    <n v="60062.8"/>
    <n v="12129.03"/>
  </r>
  <r>
    <s v="ORD00374"/>
    <s v="2026-03-10"/>
    <x v="0"/>
    <x v="1"/>
    <s v="Karnataka"/>
    <s v="Bengaluru"/>
    <x v="1"/>
    <s v="Laptop"/>
    <s v="Laptop"/>
    <s v="Priya"/>
    <s v="Retail"/>
    <n v="7"/>
    <n v="35737"/>
    <n v="20"/>
    <n v="200127.2"/>
    <n v="40281.35"/>
  </r>
  <r>
    <s v="ORD00375"/>
    <s v="2025-12-13"/>
    <x v="3"/>
    <x v="3"/>
    <s v="Gujarat"/>
    <s v="Ahmedabad"/>
    <x v="2"/>
    <s v="Notebook"/>
    <s v="Notebook"/>
    <s v="Meena"/>
    <s v="Retail"/>
    <n v="8"/>
    <n v="9509"/>
    <n v="5"/>
    <n v="72268.399999999994"/>
    <n v="10885.28"/>
  </r>
  <r>
    <s v="ORD00376"/>
    <s v="2025-12-04"/>
    <x v="3"/>
    <x v="2"/>
    <s v="Delhi"/>
    <s v="Delhi"/>
    <x v="1"/>
    <s v="Monitor"/>
    <s v="Monitor"/>
    <s v="Priya"/>
    <s v="Retail"/>
    <n v="2"/>
    <n v="38278"/>
    <n v="5"/>
    <n v="72728.2"/>
    <n v="18165.18"/>
  </r>
  <r>
    <s v="ORD00377"/>
    <s v="2025-12-11"/>
    <x v="3"/>
    <x v="3"/>
    <s v="Maharashtra"/>
    <s v="Mumbai"/>
    <x v="2"/>
    <s v="Pen"/>
    <s v="Pen"/>
    <s v="Priya"/>
    <s v="Corporate"/>
    <n v="7"/>
    <n v="37664"/>
    <n v="20"/>
    <n v="210918.39999999999"/>
    <n v="14375.55"/>
  </r>
  <r>
    <s v="ORD00378"/>
    <s v="2025-05-08"/>
    <x v="6"/>
    <x v="2"/>
    <s v="Chandigarh"/>
    <s v="Chandigarh"/>
    <x v="0"/>
    <s v="Desk"/>
    <s v="Desk"/>
    <s v="Sneha"/>
    <s v="Corporate"/>
    <n v="4"/>
    <n v="33706"/>
    <n v="10"/>
    <n v="121341.6"/>
    <n v="21834.29"/>
  </r>
  <r>
    <s v="ORD00379"/>
    <s v="2026-06-25"/>
    <x v="1"/>
    <x v="2"/>
    <s v="Delhi"/>
    <s v="Delhi"/>
    <x v="2"/>
    <s v="Printer Paper"/>
    <s v="Printer Paper"/>
    <s v="Arun"/>
    <s v="Retail"/>
    <n v="3"/>
    <n v="20486"/>
    <n v="15"/>
    <n v="52239.3"/>
    <n v="6832.11"/>
  </r>
  <r>
    <s v="ORD00380"/>
    <s v="2025-01-17"/>
    <x v="4"/>
    <x v="1"/>
    <s v="Tamil Nadu"/>
    <s v="Chennai"/>
    <x v="1"/>
    <s v="Monitor"/>
    <s v="Monitor"/>
    <s v="Meena"/>
    <s v="Retail"/>
    <n v="10"/>
    <n v="8444"/>
    <n v="10"/>
    <n v="75996"/>
    <n v="9871.86"/>
  </r>
  <r>
    <s v="ORD00381"/>
    <s v="2025-03-29"/>
    <x v="0"/>
    <x v="2"/>
    <s v="Chandigarh"/>
    <s v="Chandigarh"/>
    <x v="1"/>
    <s v="Mobile"/>
    <s v="Mobile"/>
    <s v="Meena"/>
    <s v="Corporate"/>
    <n v="9"/>
    <n v="23702"/>
    <n v="15"/>
    <n v="181320.3"/>
    <n v="53852.78"/>
  </r>
  <r>
    <s v="ORD00382"/>
    <s v="2026-02-16"/>
    <x v="9"/>
    <x v="0"/>
    <s v="West Bengal"/>
    <s v="Kolkata"/>
    <x v="1"/>
    <s v="Monitor"/>
    <s v="Monitor"/>
    <s v="Sneha"/>
    <s v="Corporate"/>
    <n v="8"/>
    <n v="48414"/>
    <n v="10"/>
    <n v="348580.8"/>
    <n v="27575.31"/>
  </r>
  <r>
    <s v="ORD00383"/>
    <s v="2026-06-20"/>
    <x v="1"/>
    <x v="2"/>
    <s v="Chandigarh"/>
    <s v="Chandigarh"/>
    <x v="2"/>
    <s v="Notebook"/>
    <s v="Notebook"/>
    <s v="Rahul"/>
    <s v="Retail"/>
    <n v="2"/>
    <n v="39532"/>
    <n v="15"/>
    <n v="67204.399999999994"/>
    <n v="19933.439999999999"/>
  </r>
  <r>
    <s v="ORD00384"/>
    <s v="2026-03-05"/>
    <x v="0"/>
    <x v="3"/>
    <s v="Maharashtra"/>
    <s v="Mumbai"/>
    <x v="0"/>
    <s v="Sofa"/>
    <s v="Sofa"/>
    <s v="Meena"/>
    <s v="Corporate"/>
    <n v="6"/>
    <n v="5950"/>
    <n v="5"/>
    <n v="33915"/>
    <n v="9684.41"/>
  </r>
  <r>
    <s v="ORD00385"/>
    <s v="2026-04-14"/>
    <x v="2"/>
    <x v="1"/>
    <s v="Tamil Nadu"/>
    <s v="Chennai"/>
    <x v="0"/>
    <s v="Chair"/>
    <s v="Chair"/>
    <s v="Arun"/>
    <s v="Corporate"/>
    <n v="5"/>
    <n v="43316"/>
    <n v="0"/>
    <n v="216580"/>
    <n v="45369.56"/>
  </r>
  <r>
    <s v="ORD00386"/>
    <s v="2026-03-28"/>
    <x v="0"/>
    <x v="0"/>
    <s v="West Bengal"/>
    <s v="Kolkata"/>
    <x v="2"/>
    <s v="Stapler"/>
    <s v="Stapler"/>
    <s v="Rahul"/>
    <s v="Retail"/>
    <n v="7"/>
    <n v="6599"/>
    <n v="15"/>
    <n v="39264.050000000003"/>
    <n v="10464.98"/>
  </r>
  <r>
    <s v="ORD00387"/>
    <s v="2025-08-06"/>
    <x v="8"/>
    <x v="3"/>
    <s v="Maharashtra"/>
    <s v="Mumbai"/>
    <x v="2"/>
    <s v="Stapler"/>
    <s v="Stapler"/>
    <s v="Priya"/>
    <s v="Corporate"/>
    <n v="7"/>
    <n v="3352"/>
    <n v="5"/>
    <n v="22290.799999999999"/>
    <n v="1932.53"/>
  </r>
  <r>
    <s v="ORD00388"/>
    <s v="2025-06-24"/>
    <x v="1"/>
    <x v="1"/>
    <s v="Tamil Nadu"/>
    <s v="Chennai"/>
    <x v="2"/>
    <s v="Notebook"/>
    <s v="Notebook"/>
    <s v="Sneha"/>
    <s v="Corporate"/>
    <n v="2"/>
    <n v="13185"/>
    <n v="5"/>
    <n v="25051.5"/>
    <n v="6018.78"/>
  </r>
  <r>
    <s v="ORD00389"/>
    <s v="2025-09-15"/>
    <x v="10"/>
    <x v="2"/>
    <s v="Delhi"/>
    <s v="Delhi"/>
    <x v="2"/>
    <s v="Notebook"/>
    <s v="Notebook"/>
    <s v="Sneha"/>
    <s v="Corporate"/>
    <n v="4"/>
    <n v="13296"/>
    <n v="15"/>
    <n v="45206.400000000001"/>
    <n v="7205.32"/>
  </r>
  <r>
    <s v="ORD00390"/>
    <s v="2025-07-12"/>
    <x v="5"/>
    <x v="2"/>
    <s v="Chandigarh"/>
    <s v="Chandigarh"/>
    <x v="0"/>
    <s v="Sofa"/>
    <s v="Sofa"/>
    <s v="John"/>
    <s v="Retail"/>
    <n v="8"/>
    <n v="37523"/>
    <n v="15"/>
    <n v="255156.4"/>
    <n v="28705.05"/>
  </r>
  <r>
    <s v="ORD00391"/>
    <s v="2025-07-19"/>
    <x v="5"/>
    <x v="3"/>
    <s v="Maharashtra"/>
    <s v="Mumbai"/>
    <x v="2"/>
    <s v="Pen"/>
    <s v="Pen"/>
    <s v="Amit"/>
    <s v="Corporate"/>
    <n v="8"/>
    <n v="33575"/>
    <n v="20"/>
    <n v="214880"/>
    <n v="24129.42"/>
  </r>
  <r>
    <s v="ORD00392"/>
    <s v="2025-12-20"/>
    <x v="3"/>
    <x v="1"/>
    <s v="Tamil Nadu"/>
    <s v="Chennai"/>
    <x v="1"/>
    <s v="Monitor"/>
    <s v="Monitor"/>
    <s v="Meena"/>
    <s v="Corporate"/>
    <n v="8"/>
    <n v="32646"/>
    <n v="5"/>
    <n v="248109.6"/>
    <n v="49774.76"/>
  </r>
  <r>
    <s v="ORD00393"/>
    <s v="2025-06-13"/>
    <x v="1"/>
    <x v="3"/>
    <s v="Maharashtra"/>
    <s v="Mumbai"/>
    <x v="0"/>
    <s v="Table"/>
    <s v="Table"/>
    <s v="Arun"/>
    <s v="Retail"/>
    <n v="3"/>
    <n v="6683"/>
    <n v="5"/>
    <n v="19046.55"/>
    <n v="4781.53"/>
  </r>
  <r>
    <s v="ORD00394"/>
    <s v="2025-02-08"/>
    <x v="9"/>
    <x v="3"/>
    <s v="Maharashtra"/>
    <s v="Mumbai"/>
    <x v="1"/>
    <s v="Monitor"/>
    <s v="Monitor"/>
    <s v="Meena"/>
    <s v="Corporate"/>
    <n v="3"/>
    <n v="28716"/>
    <n v="15"/>
    <n v="73225.8"/>
    <n v="16385.52"/>
  </r>
  <r>
    <s v="ORD00395"/>
    <s v="2026-04-26"/>
    <x v="2"/>
    <x v="1"/>
    <s v="Tamil Nadu"/>
    <s v="Chennai"/>
    <x v="2"/>
    <s v="Printer Paper"/>
    <s v="Printer Paper"/>
    <s v="Amit"/>
    <s v="Corporate"/>
    <n v="10"/>
    <n v="33213"/>
    <n v="10"/>
    <n v="298917"/>
    <n v="56839.6"/>
  </r>
  <r>
    <s v="ORD00396"/>
    <s v="2025-03-11"/>
    <x v="0"/>
    <x v="0"/>
    <s v="Odisha"/>
    <s v="Bhubaneswar"/>
    <x v="2"/>
    <s v="Notebook"/>
    <s v="Notebook"/>
    <s v="Sneha"/>
    <s v="Corporate"/>
    <n v="6"/>
    <n v="34876"/>
    <n v="20"/>
    <n v="167404.79999999999"/>
    <n v="13621.68"/>
  </r>
  <r>
    <s v="ORD00397"/>
    <s v="2025-06-21"/>
    <x v="1"/>
    <x v="3"/>
    <s v="Maharashtra"/>
    <s v="Mumbai"/>
    <x v="0"/>
    <s v="Table"/>
    <s v="Table"/>
    <s v="Vicky"/>
    <s v="Corporate"/>
    <n v="7"/>
    <n v="12904"/>
    <n v="20"/>
    <n v="72262.399999999994"/>
    <n v="16411.55"/>
  </r>
  <r>
    <s v="ORD00398"/>
    <s v="2025-08-01"/>
    <x v="8"/>
    <x v="1"/>
    <s v="Tamil Nadu"/>
    <s v="Chennai"/>
    <x v="0"/>
    <s v="Desk"/>
    <s v="Desk"/>
    <s v="Sneha"/>
    <s v="Corporate"/>
    <n v="3"/>
    <n v="4641"/>
    <n v="20"/>
    <n v="11138.4"/>
    <n v="2185.25"/>
  </r>
  <r>
    <s v="ORD00399"/>
    <s v="2026-04-21"/>
    <x v="2"/>
    <x v="3"/>
    <s v="Gujarat"/>
    <s v="Ahmedabad"/>
    <x v="1"/>
    <s v="Mobile"/>
    <s v="Mobile"/>
    <s v="Vicky"/>
    <s v="Retail"/>
    <n v="8"/>
    <n v="7650"/>
    <n v="0"/>
    <n v="61200"/>
    <n v="5264.38"/>
  </r>
  <r>
    <s v="ORD00400"/>
    <s v="2025-05-07"/>
    <x v="6"/>
    <x v="0"/>
    <s v="Odisha"/>
    <s v="Bhubaneswar"/>
    <x v="2"/>
    <s v="Notebook"/>
    <s v="Notebook"/>
    <s v="Arun"/>
    <s v="Corporate"/>
    <n v="1"/>
    <n v="22239"/>
    <n v="0"/>
    <n v="22239"/>
    <n v="4275.08"/>
  </r>
  <r>
    <s v="ORD00401"/>
    <s v="2025-02-19"/>
    <x v="9"/>
    <x v="2"/>
    <s v="Delhi"/>
    <s v="Delhi"/>
    <x v="2"/>
    <s v="Notebook"/>
    <s v="Notebook"/>
    <s v="Rahul"/>
    <s v="Corporate"/>
    <n v="7"/>
    <n v="25328"/>
    <n v="5"/>
    <n v="168431.2"/>
    <n v="10937.93"/>
  </r>
  <r>
    <s v="ORD00402"/>
    <s v="2025-08-11"/>
    <x v="8"/>
    <x v="2"/>
    <s v="Chandigarh"/>
    <s v="Chandigarh"/>
    <x v="0"/>
    <s v="Chair"/>
    <s v="Chair"/>
    <s v="Sneha"/>
    <s v="Corporate"/>
    <n v="2"/>
    <n v="17702"/>
    <n v="15"/>
    <n v="30093.4"/>
    <n v="3956.47"/>
  </r>
  <r>
    <s v="ORD00403"/>
    <s v="2025-07-29"/>
    <x v="5"/>
    <x v="0"/>
    <s v="West Bengal"/>
    <s v="Kolkata"/>
    <x v="0"/>
    <s v="Table"/>
    <s v="Table"/>
    <s v="Vicky"/>
    <s v="Retail"/>
    <n v="2"/>
    <n v="14410"/>
    <n v="15"/>
    <n v="24497"/>
    <n v="4931.78"/>
  </r>
  <r>
    <s v="ORD00404"/>
    <s v="2025-09-11"/>
    <x v="10"/>
    <x v="0"/>
    <s v="West Bengal"/>
    <s v="Kolkata"/>
    <x v="1"/>
    <s v="Mobile"/>
    <s v="Mobile"/>
    <s v="Sneha"/>
    <s v="Corporate"/>
    <n v="2"/>
    <n v="7563"/>
    <n v="5"/>
    <n v="14369.7"/>
    <n v="1478.91"/>
  </r>
  <r>
    <s v="ORD00405"/>
    <s v="2026-02-25"/>
    <x v="9"/>
    <x v="2"/>
    <s v="Delhi"/>
    <s v="Delhi"/>
    <x v="0"/>
    <s v="Chair"/>
    <s v="Chair"/>
    <s v="Sneha"/>
    <s v="Retail"/>
    <n v="5"/>
    <n v="17831"/>
    <n v="10"/>
    <n v="80239.5"/>
    <n v="4943.79"/>
  </r>
  <r>
    <s v="ORD00406"/>
    <s v="2025-01-04"/>
    <x v="4"/>
    <x v="0"/>
    <s v="Odisha"/>
    <s v="Bhubaneswar"/>
    <x v="2"/>
    <s v="Notebook"/>
    <s v="Notebook"/>
    <s v="Priya"/>
    <s v="Corporate"/>
    <n v="6"/>
    <n v="15344"/>
    <n v="15"/>
    <n v="78254.399999999994"/>
    <n v="18932.86"/>
  </r>
  <r>
    <s v="ORD00407"/>
    <s v="2026-01-10"/>
    <x v="4"/>
    <x v="2"/>
    <s v="Chandigarh"/>
    <s v="Chandigarh"/>
    <x v="1"/>
    <s v="Laptop"/>
    <s v="Laptop"/>
    <s v="Arun"/>
    <s v="Corporate"/>
    <n v="4"/>
    <n v="15670"/>
    <n v="15"/>
    <n v="53278"/>
    <n v="9394.23"/>
  </r>
  <r>
    <s v="ORD00408"/>
    <s v="2026-06-11"/>
    <x v="1"/>
    <x v="3"/>
    <s v="Gujarat"/>
    <s v="Ahmedabad"/>
    <x v="2"/>
    <s v="Printer Paper"/>
    <s v="Printer Paper"/>
    <s v="Arun"/>
    <s v="Retail"/>
    <n v="3"/>
    <n v="47937"/>
    <n v="0"/>
    <n v="143811"/>
    <n v="36335.22"/>
  </r>
  <r>
    <s v="ORD00409"/>
    <s v="2026-05-02"/>
    <x v="6"/>
    <x v="1"/>
    <s v="Tamil Nadu"/>
    <s v="Chennai"/>
    <x v="0"/>
    <s v="Sofa"/>
    <s v="Sofa"/>
    <s v="Rahul"/>
    <s v="Corporate"/>
    <n v="3"/>
    <n v="43062"/>
    <n v="20"/>
    <n v="103348.8"/>
    <n v="19182.09"/>
  </r>
  <r>
    <s v="ORD00410"/>
    <s v="2025-03-12"/>
    <x v="0"/>
    <x v="1"/>
    <s v="Karnataka"/>
    <s v="Bengaluru"/>
    <x v="2"/>
    <s v="Stapler"/>
    <s v="Stapler"/>
    <s v="Vicky"/>
    <s v="Retail"/>
    <n v="3"/>
    <n v="47115"/>
    <n v="20"/>
    <n v="113076"/>
    <n v="11637.33"/>
  </r>
  <r>
    <s v="ORD00411"/>
    <s v="2025-11-05"/>
    <x v="7"/>
    <x v="0"/>
    <s v="Odisha"/>
    <s v="Bhubaneswar"/>
    <x v="0"/>
    <s v="Desk"/>
    <s v="Desk"/>
    <s v="Sneha"/>
    <s v="Retail"/>
    <n v="5"/>
    <n v="1714"/>
    <n v="10"/>
    <n v="7713"/>
    <n v="645.97"/>
  </r>
  <r>
    <s v="ORD00412"/>
    <s v="2026-04-12"/>
    <x v="2"/>
    <x v="1"/>
    <s v="Karnataka"/>
    <s v="Bengaluru"/>
    <x v="2"/>
    <s v="Stapler"/>
    <s v="Stapler"/>
    <s v="Priya"/>
    <s v="Corporate"/>
    <n v="3"/>
    <n v="49720"/>
    <n v="20"/>
    <n v="119328"/>
    <n v="33147.199999999997"/>
  </r>
  <r>
    <s v="ORD00413"/>
    <s v="2026-05-09"/>
    <x v="6"/>
    <x v="3"/>
    <s v="Gujarat"/>
    <s v="Ahmedabad"/>
    <x v="0"/>
    <s v="Chair"/>
    <s v="Chair"/>
    <s v="Amit"/>
    <s v="Corporate"/>
    <n v="4"/>
    <n v="39950"/>
    <n v="15"/>
    <n v="135830"/>
    <n v="9487.5"/>
  </r>
  <r>
    <s v="ORD00414"/>
    <s v="2025-08-25"/>
    <x v="8"/>
    <x v="0"/>
    <s v="West Bengal"/>
    <s v="Kolkata"/>
    <x v="1"/>
    <s v="Mobile"/>
    <s v="Mobile"/>
    <s v="Meena"/>
    <s v="Corporate"/>
    <n v="6"/>
    <n v="18977"/>
    <n v="5"/>
    <n v="108168.9"/>
    <n v="29097.32"/>
  </r>
  <r>
    <s v="ORD00415"/>
    <s v="2025-05-20"/>
    <x v="6"/>
    <x v="3"/>
    <s v="Gujarat"/>
    <s v="Ahmedabad"/>
    <x v="2"/>
    <s v="Notebook"/>
    <s v="Notebook"/>
    <s v="Sneha"/>
    <s v="Corporate"/>
    <n v="9"/>
    <n v="30023"/>
    <n v="0"/>
    <n v="270207"/>
    <n v="39706.07"/>
  </r>
  <r>
    <s v="ORD00416"/>
    <s v="2026-03-17"/>
    <x v="0"/>
    <x v="3"/>
    <s v="Gujarat"/>
    <s v="Ahmedabad"/>
    <x v="1"/>
    <s v="Laptop"/>
    <s v="Laptop"/>
    <s v="Rahul"/>
    <s v="Corporate"/>
    <n v="6"/>
    <n v="1164"/>
    <n v="10"/>
    <n v="6285.6"/>
    <n v="1000.52"/>
  </r>
  <r>
    <s v="ORD00417"/>
    <s v="2026-06-12"/>
    <x v="1"/>
    <x v="1"/>
    <s v="Tamil Nadu"/>
    <s v="Chennai"/>
    <x v="1"/>
    <s v="Mobile"/>
    <s v="Mobile"/>
    <s v="Vicky"/>
    <s v="Corporate"/>
    <n v="4"/>
    <n v="21247"/>
    <n v="0"/>
    <n v="84988"/>
    <n v="17179.8"/>
  </r>
  <r>
    <s v="ORD00418"/>
    <s v="2025-05-19"/>
    <x v="6"/>
    <x v="0"/>
    <s v="Odisha"/>
    <s v="Bhubaneswar"/>
    <x v="1"/>
    <s v="Mobile"/>
    <s v="Mobile"/>
    <s v="Priya"/>
    <s v="Retail"/>
    <n v="7"/>
    <n v="46530"/>
    <n v="10"/>
    <n v="293139"/>
    <n v="43453.09"/>
  </r>
  <r>
    <s v="ORD00419"/>
    <s v="2026-02-02"/>
    <x v="9"/>
    <x v="2"/>
    <s v="Chandigarh"/>
    <s v="Chandigarh"/>
    <x v="0"/>
    <s v="Desk"/>
    <s v="Desk"/>
    <s v="Vicky"/>
    <s v="Corporate"/>
    <n v="1"/>
    <n v="17120"/>
    <n v="5"/>
    <n v="16264"/>
    <n v="1669.48"/>
  </r>
  <r>
    <s v="ORD00420"/>
    <s v="2026-06-21"/>
    <x v="1"/>
    <x v="3"/>
    <s v="Gujarat"/>
    <s v="Ahmedabad"/>
    <x v="0"/>
    <s v="Desk"/>
    <s v="Desk"/>
    <s v="Arun"/>
    <s v="Retail"/>
    <n v="3"/>
    <n v="31559"/>
    <n v="15"/>
    <n v="80475.45"/>
    <n v="6174.16"/>
  </r>
  <r>
    <s v="ORD00421"/>
    <s v="2025-09-02"/>
    <x v="10"/>
    <x v="3"/>
    <s v="Gujarat"/>
    <s v="Ahmedabad"/>
    <x v="0"/>
    <s v="Sofa"/>
    <s v="Sofa"/>
    <s v="Vicky"/>
    <s v="Corporate"/>
    <n v="5"/>
    <n v="19210"/>
    <n v="20"/>
    <n v="76840"/>
    <n v="10302.32"/>
  </r>
  <r>
    <s v="ORD00422"/>
    <s v="2025-12-22"/>
    <x v="3"/>
    <x v="1"/>
    <s v="Karnataka"/>
    <s v="Bengaluru"/>
    <x v="1"/>
    <s v="Keyboard"/>
    <s v="Keyboard"/>
    <s v="John"/>
    <s v="Corporate"/>
    <n v="2"/>
    <n v="25723"/>
    <n v="15"/>
    <n v="43729.1"/>
    <n v="10439.92"/>
  </r>
  <r>
    <s v="ORD00423"/>
    <s v="2026-02-09"/>
    <x v="9"/>
    <x v="0"/>
    <s v="West Bengal"/>
    <s v="Kolkata"/>
    <x v="0"/>
    <s v="Desk"/>
    <s v="Desk"/>
    <s v="Meena"/>
    <s v="Corporate"/>
    <n v="3"/>
    <n v="30772"/>
    <n v="15"/>
    <n v="78468.600000000006"/>
    <n v="9433.2999999999993"/>
  </r>
  <r>
    <s v="ORD00424"/>
    <s v="2025-08-23"/>
    <x v="8"/>
    <x v="1"/>
    <s v="Karnataka"/>
    <s v="Bengaluru"/>
    <x v="0"/>
    <s v="Table"/>
    <s v="Table"/>
    <s v="Rahul"/>
    <s v="Retail"/>
    <n v="8"/>
    <n v="38394"/>
    <n v="20"/>
    <n v="245721.60000000001"/>
    <n v="46824.639999999999"/>
  </r>
  <r>
    <s v="ORD00425"/>
    <s v="2025-09-04"/>
    <x v="10"/>
    <x v="3"/>
    <s v="Gujarat"/>
    <s v="Ahmedabad"/>
    <x v="0"/>
    <s v="Chair"/>
    <s v="Chair"/>
    <s v="John"/>
    <s v="Corporate"/>
    <n v="5"/>
    <n v="25784"/>
    <n v="20"/>
    <n v="103136"/>
    <n v="6850.51"/>
  </r>
  <r>
    <s v="ORD00426"/>
    <s v="2025-05-27"/>
    <x v="6"/>
    <x v="3"/>
    <s v="Maharashtra"/>
    <s v="Mumbai"/>
    <x v="1"/>
    <s v="Laptop"/>
    <s v="Laptop"/>
    <s v="Sneha"/>
    <s v="Corporate"/>
    <n v="9"/>
    <n v="47588"/>
    <n v="5"/>
    <n v="406877.4"/>
    <n v="56725.27"/>
  </r>
  <r>
    <s v="ORD00427"/>
    <s v="2025-02-18"/>
    <x v="9"/>
    <x v="1"/>
    <s v="Karnataka"/>
    <s v="Bengaluru"/>
    <x v="0"/>
    <s v="Table"/>
    <s v="Table"/>
    <s v="John"/>
    <s v="Corporate"/>
    <n v="7"/>
    <n v="8287"/>
    <n v="5"/>
    <n v="55108.55"/>
    <n v="7504.91"/>
  </r>
  <r>
    <s v="ORD00428"/>
    <s v="2025-06-23"/>
    <x v="1"/>
    <x v="0"/>
    <s v="West Bengal"/>
    <s v="Kolkata"/>
    <x v="1"/>
    <s v="Monitor"/>
    <s v="Monitor"/>
    <s v="John"/>
    <s v="Retail"/>
    <n v="3"/>
    <n v="21122"/>
    <n v="20"/>
    <n v="50692.800000000003"/>
    <n v="3162.98"/>
  </r>
  <r>
    <s v="ORD00429"/>
    <s v="2025-11-22"/>
    <x v="7"/>
    <x v="1"/>
    <s v="Karnataka"/>
    <s v="Bengaluru"/>
    <x v="0"/>
    <s v="Sofa"/>
    <s v="Sofa"/>
    <s v="Rahul"/>
    <s v="Retail"/>
    <n v="7"/>
    <n v="26586"/>
    <n v="5"/>
    <n v="176796.9"/>
    <n v="40748.54"/>
  </r>
  <r>
    <s v="ORD00430"/>
    <s v="2025-09-29"/>
    <x v="10"/>
    <x v="3"/>
    <s v="Gujarat"/>
    <s v="Ahmedabad"/>
    <x v="1"/>
    <s v="Laptop"/>
    <s v="Laptop"/>
    <s v="Arun"/>
    <s v="Retail"/>
    <n v="3"/>
    <n v="14372"/>
    <n v="20"/>
    <n v="34492.800000000003"/>
    <n v="8158.78"/>
  </r>
  <r>
    <s v="ORD00431"/>
    <s v="2025-09-01"/>
    <x v="10"/>
    <x v="3"/>
    <s v="Gujarat"/>
    <s v="Ahmedabad"/>
    <x v="1"/>
    <s v="Mobile"/>
    <s v="Mobile"/>
    <s v="Rahul"/>
    <s v="Retail"/>
    <n v="5"/>
    <n v="1255"/>
    <n v="0"/>
    <n v="6275"/>
    <n v="912.36"/>
  </r>
  <r>
    <s v="ORD00432"/>
    <s v="2025-01-27"/>
    <x v="4"/>
    <x v="0"/>
    <s v="West Bengal"/>
    <s v="Kolkata"/>
    <x v="1"/>
    <s v="Keyboard"/>
    <s v="Keyboard"/>
    <s v="Meena"/>
    <s v="Retail"/>
    <n v="9"/>
    <n v="26880"/>
    <n v="5"/>
    <n v="229824"/>
    <n v="42463.62"/>
  </r>
  <r>
    <s v="ORD00433"/>
    <s v="2026-06-11"/>
    <x v="1"/>
    <x v="0"/>
    <s v="West Bengal"/>
    <s v="Kolkata"/>
    <x v="1"/>
    <s v="Keyboard"/>
    <s v="Keyboard"/>
    <s v="Priya"/>
    <s v="Retail"/>
    <n v="3"/>
    <n v="41239"/>
    <n v="15"/>
    <n v="105159.45"/>
    <n v="28835.96"/>
  </r>
  <r>
    <s v="ORD00434"/>
    <s v="2026-02-23"/>
    <x v="9"/>
    <x v="1"/>
    <s v="Karnataka"/>
    <s v="Bengaluru"/>
    <x v="1"/>
    <s v="Monitor"/>
    <s v="Monitor"/>
    <s v="John"/>
    <s v="Retail"/>
    <n v="5"/>
    <n v="16387"/>
    <n v="0"/>
    <n v="81935"/>
    <n v="18114.27"/>
  </r>
  <r>
    <s v="ORD00435"/>
    <s v="2026-02-28"/>
    <x v="9"/>
    <x v="1"/>
    <s v="Karnataka"/>
    <s v="Bengaluru"/>
    <x v="1"/>
    <s v="Mobile"/>
    <s v="Mobile"/>
    <s v="Priya"/>
    <s v="Corporate"/>
    <n v="4"/>
    <n v="13956"/>
    <n v="10"/>
    <n v="50241.599999999999"/>
    <n v="8639.6299999999992"/>
  </r>
  <r>
    <s v="ORD00436"/>
    <s v="2026-06-16"/>
    <x v="1"/>
    <x v="2"/>
    <s v="Delhi"/>
    <s v="Delhi"/>
    <x v="1"/>
    <s v="Monitor"/>
    <s v="Monitor"/>
    <s v="Arun"/>
    <s v="Corporate"/>
    <n v="5"/>
    <n v="14053"/>
    <n v="10"/>
    <n v="63238.5"/>
    <n v="8555.5300000000007"/>
  </r>
  <r>
    <s v="ORD00437"/>
    <s v="2026-06-25"/>
    <x v="1"/>
    <x v="0"/>
    <s v="Odisha"/>
    <s v="Bhubaneswar"/>
    <x v="2"/>
    <s v="Notebook"/>
    <s v="Notebook"/>
    <s v="Arun"/>
    <s v="Retail"/>
    <n v="8"/>
    <n v="32834"/>
    <n v="10"/>
    <n v="236404.8"/>
    <n v="58843.8"/>
  </r>
  <r>
    <s v="ORD00438"/>
    <s v="2025-11-22"/>
    <x v="7"/>
    <x v="0"/>
    <s v="Odisha"/>
    <s v="Bhubaneswar"/>
    <x v="0"/>
    <s v="Table"/>
    <s v="Table"/>
    <s v="Arun"/>
    <s v="Retail"/>
    <n v="1"/>
    <n v="34724"/>
    <n v="20"/>
    <n v="27779.200000000001"/>
    <n v="5525.49"/>
  </r>
  <r>
    <s v="ORD00439"/>
    <s v="2026-03-10"/>
    <x v="0"/>
    <x v="2"/>
    <s v="Chandigarh"/>
    <s v="Chandigarh"/>
    <x v="2"/>
    <s v="Pen"/>
    <s v="Pen"/>
    <s v="John"/>
    <s v="Corporate"/>
    <n v="9"/>
    <n v="37313"/>
    <n v="15"/>
    <n v="285444.45"/>
    <n v="39865.31"/>
  </r>
  <r>
    <s v="ORD00440"/>
    <s v="2025-12-01"/>
    <x v="3"/>
    <x v="2"/>
    <s v="Chandigarh"/>
    <s v="Chandigarh"/>
    <x v="1"/>
    <s v="Keyboard"/>
    <s v="Keyboard"/>
    <s v="Vicky"/>
    <s v="Retail"/>
    <n v="2"/>
    <n v="49035"/>
    <n v="5"/>
    <n v="93166.5"/>
    <n v="8096.39"/>
  </r>
  <r>
    <s v="ORD00441"/>
    <s v="2025-01-07"/>
    <x v="4"/>
    <x v="3"/>
    <s v="Gujarat"/>
    <s v="Ahmedabad"/>
    <x v="0"/>
    <s v="Sofa"/>
    <s v="Sofa"/>
    <s v="Vicky"/>
    <s v="Corporate"/>
    <n v="3"/>
    <n v="10128"/>
    <n v="20"/>
    <n v="24307.200000000001"/>
    <n v="6492.88"/>
  </r>
  <r>
    <s v="ORD00442"/>
    <s v="2025-02-02"/>
    <x v="9"/>
    <x v="2"/>
    <s v="Chandigarh"/>
    <s v="Chandigarh"/>
    <x v="1"/>
    <s v="Monitor"/>
    <s v="Monitor"/>
    <s v="Arun"/>
    <s v="Retail"/>
    <n v="2"/>
    <n v="14472"/>
    <n v="0"/>
    <n v="28944"/>
    <n v="4273.53"/>
  </r>
  <r>
    <s v="ORD00443"/>
    <s v="2026-05-08"/>
    <x v="6"/>
    <x v="1"/>
    <s v="Karnataka"/>
    <s v="Bengaluru"/>
    <x v="2"/>
    <s v="Printer Paper"/>
    <s v="Printer Paper"/>
    <s v="Rahul"/>
    <s v="Retail"/>
    <n v="1"/>
    <n v="20731"/>
    <n v="15"/>
    <n v="17621.349999999999"/>
    <n v="3366.06"/>
  </r>
  <r>
    <s v="ORD00444"/>
    <s v="2025-02-28"/>
    <x v="9"/>
    <x v="2"/>
    <s v="Delhi"/>
    <s v="Delhi"/>
    <x v="0"/>
    <s v="Chair"/>
    <s v="Chair"/>
    <s v="John"/>
    <s v="Retail"/>
    <n v="2"/>
    <n v="20744"/>
    <n v="20"/>
    <n v="33190.400000000001"/>
    <n v="2195.2399999999998"/>
  </r>
  <r>
    <s v="ORD00445"/>
    <s v="2025-09-11"/>
    <x v="10"/>
    <x v="2"/>
    <s v="Chandigarh"/>
    <s v="Chandigarh"/>
    <x v="2"/>
    <s v="Notebook"/>
    <s v="Notebook"/>
    <s v="Rahul"/>
    <s v="Retail"/>
    <n v="5"/>
    <n v="32637"/>
    <n v="10"/>
    <n v="146866.5"/>
    <n v="39832.25"/>
  </r>
  <r>
    <s v="ORD00446"/>
    <s v="2026-03-15"/>
    <x v="0"/>
    <x v="1"/>
    <s v="Tamil Nadu"/>
    <s v="Chennai"/>
    <x v="0"/>
    <s v="Table"/>
    <s v="Table"/>
    <s v="Rahul"/>
    <s v="Corporate"/>
    <n v="10"/>
    <n v="29183"/>
    <n v="5"/>
    <n v="277238.5"/>
    <n v="22736"/>
  </r>
  <r>
    <s v="ORD00447"/>
    <s v="2025-10-16"/>
    <x v="11"/>
    <x v="0"/>
    <s v="West Bengal"/>
    <s v="Kolkata"/>
    <x v="1"/>
    <s v="Keyboard"/>
    <s v="Keyboard"/>
    <s v="Arun"/>
    <s v="Retail"/>
    <n v="8"/>
    <n v="25743"/>
    <n v="0"/>
    <n v="205944"/>
    <n v="30352.43"/>
  </r>
  <r>
    <s v="ORD00448"/>
    <s v="2026-02-24"/>
    <x v="9"/>
    <x v="3"/>
    <s v="Maharashtra"/>
    <s v="Mumbai"/>
    <x v="2"/>
    <s v="Stapler"/>
    <s v="Stapler"/>
    <s v="Sneha"/>
    <s v="Corporate"/>
    <n v="8"/>
    <n v="20290"/>
    <n v="0"/>
    <n v="162320"/>
    <n v="38067.17"/>
  </r>
  <r>
    <s v="ORD00449"/>
    <s v="2026-05-27"/>
    <x v="6"/>
    <x v="3"/>
    <s v="Maharashtra"/>
    <s v="Mumbai"/>
    <x v="0"/>
    <s v="Sofa"/>
    <s v="Sofa"/>
    <s v="Sneha"/>
    <s v="Corporate"/>
    <n v="4"/>
    <n v="27519"/>
    <n v="20"/>
    <n v="88060.800000000003"/>
    <n v="6402.71"/>
  </r>
  <r>
    <s v="ORD00450"/>
    <s v="2025-12-28"/>
    <x v="3"/>
    <x v="1"/>
    <s v="Tamil Nadu"/>
    <s v="Chennai"/>
    <x v="2"/>
    <s v="Printer Paper"/>
    <s v="Printer Paper"/>
    <s v="Vicky"/>
    <s v="Corporate"/>
    <n v="4"/>
    <n v="40989"/>
    <n v="5"/>
    <n v="155758.20000000001"/>
    <n v="29125.15"/>
  </r>
  <r>
    <s v="ORD00451"/>
    <s v="2025-12-21"/>
    <x v="3"/>
    <x v="0"/>
    <s v="West Bengal"/>
    <s v="Kolkata"/>
    <x v="1"/>
    <s v="Keyboard"/>
    <s v="Keyboard"/>
    <s v="Meena"/>
    <s v="Corporate"/>
    <n v="3"/>
    <n v="36215"/>
    <n v="10"/>
    <n v="97780.5"/>
    <n v="13490.66"/>
  </r>
  <r>
    <s v="ORD00452"/>
    <s v="2025-10-11"/>
    <x v="11"/>
    <x v="2"/>
    <s v="Chandigarh"/>
    <s v="Chandigarh"/>
    <x v="2"/>
    <s v="Pen"/>
    <s v="Pen"/>
    <s v="Meena"/>
    <s v="Retail"/>
    <n v="4"/>
    <n v="10147"/>
    <n v="5"/>
    <n v="38558.6"/>
    <n v="6241.27"/>
  </r>
  <r>
    <s v="ORD00453"/>
    <s v="2025-12-09"/>
    <x v="3"/>
    <x v="3"/>
    <s v="Gujarat"/>
    <s v="Ahmedabad"/>
    <x v="2"/>
    <s v="Stapler"/>
    <s v="Stapler"/>
    <s v="Vicky"/>
    <s v="Retail"/>
    <n v="9"/>
    <n v="21345"/>
    <n v="5"/>
    <n v="182499.75"/>
    <n v="47191.69"/>
  </r>
  <r>
    <s v="ORD00454"/>
    <s v="2026-06-18"/>
    <x v="1"/>
    <x v="2"/>
    <s v="Chandigarh"/>
    <s v="Chandigarh"/>
    <x v="2"/>
    <s v="Pen"/>
    <s v="Pen"/>
    <s v="Arun"/>
    <s v="Retail"/>
    <n v="1"/>
    <n v="48895"/>
    <n v="10"/>
    <n v="44005.5"/>
    <n v="11347.47"/>
  </r>
  <r>
    <s v="ORD00455"/>
    <s v="2025-01-26"/>
    <x v="4"/>
    <x v="3"/>
    <s v="Maharashtra"/>
    <s v="Mumbai"/>
    <x v="1"/>
    <s v="Keyboard"/>
    <s v="Keyboard"/>
    <s v="Amit"/>
    <s v="Retail"/>
    <n v="1"/>
    <n v="45162"/>
    <n v="0"/>
    <n v="45162"/>
    <n v="6104.34"/>
  </r>
  <r>
    <s v="ORD00456"/>
    <s v="2026-01-18"/>
    <x v="4"/>
    <x v="3"/>
    <s v="Gujarat"/>
    <s v="Ahmedabad"/>
    <x v="0"/>
    <s v="Desk"/>
    <s v="Desk"/>
    <s v="Meena"/>
    <s v="Retail"/>
    <n v="2"/>
    <n v="37550"/>
    <n v="10"/>
    <n v="67590"/>
    <n v="15517.52"/>
  </r>
  <r>
    <s v="ORD00457"/>
    <s v="2026-04-20"/>
    <x v="2"/>
    <x v="1"/>
    <s v="Tamil Nadu"/>
    <s v="Chennai"/>
    <x v="2"/>
    <s v="Stapler"/>
    <s v="Stapler"/>
    <s v="Priya"/>
    <s v="Retail"/>
    <n v="7"/>
    <n v="48102"/>
    <n v="10"/>
    <n v="303042.59999999998"/>
    <n v="19459.84"/>
  </r>
  <r>
    <s v="ORD00458"/>
    <s v="2026-02-22"/>
    <x v="9"/>
    <x v="2"/>
    <s v="Chandigarh"/>
    <s v="Chandigarh"/>
    <x v="0"/>
    <s v="Chair"/>
    <s v="Chair"/>
    <s v="Priya"/>
    <s v="Retail"/>
    <n v="3"/>
    <n v="8994"/>
    <n v="10"/>
    <n v="24283.8"/>
    <n v="3128.07"/>
  </r>
  <r>
    <s v="ORD00459"/>
    <s v="2025-10-01"/>
    <x v="11"/>
    <x v="2"/>
    <s v="Delhi"/>
    <s v="Delhi"/>
    <x v="2"/>
    <s v="Pen"/>
    <s v="Pen"/>
    <s v="Priya"/>
    <s v="Retail"/>
    <n v="8"/>
    <n v="34902"/>
    <n v="5"/>
    <n v="265255.2"/>
    <n v="14803.8"/>
  </r>
  <r>
    <s v="ORD00460"/>
    <s v="2026-05-29"/>
    <x v="6"/>
    <x v="1"/>
    <s v="Tamil Nadu"/>
    <s v="Chennai"/>
    <x v="1"/>
    <s v="Keyboard"/>
    <s v="Keyboard"/>
    <s v="Sneha"/>
    <s v="Retail"/>
    <n v="10"/>
    <n v="25958"/>
    <n v="10"/>
    <n v="233622"/>
    <n v="48124.43"/>
  </r>
  <r>
    <s v="ORD00461"/>
    <s v="2026-04-28"/>
    <x v="2"/>
    <x v="3"/>
    <s v="Gujarat"/>
    <s v="Ahmedabad"/>
    <x v="1"/>
    <s v="Keyboard"/>
    <s v="Keyboard"/>
    <s v="Sneha"/>
    <s v="Retail"/>
    <n v="10"/>
    <n v="10427"/>
    <n v="5"/>
    <n v="99056.5"/>
    <n v="18731.490000000002"/>
  </r>
  <r>
    <s v="ORD00462"/>
    <s v="2025-09-20"/>
    <x v="10"/>
    <x v="1"/>
    <s v="Karnataka"/>
    <s v="Bengaluru"/>
    <x v="0"/>
    <s v="Sofa"/>
    <s v="Sofa"/>
    <s v="Amit"/>
    <s v="Corporate"/>
    <n v="10"/>
    <n v="34786"/>
    <n v="15"/>
    <n v="295681"/>
    <n v="77627.03"/>
  </r>
  <r>
    <s v="ORD00463"/>
    <s v="2025-11-08"/>
    <x v="7"/>
    <x v="1"/>
    <s v="Tamil Nadu"/>
    <s v="Chennai"/>
    <x v="1"/>
    <s v="Monitor"/>
    <s v="Monitor"/>
    <s v="Vicky"/>
    <s v="Corporate"/>
    <n v="1"/>
    <n v="7061"/>
    <n v="15"/>
    <n v="6001.85"/>
    <n v="606.20000000000005"/>
  </r>
  <r>
    <s v="ORD00464"/>
    <s v="2025-02-05"/>
    <x v="9"/>
    <x v="2"/>
    <s v="Delhi"/>
    <s v="Delhi"/>
    <x v="0"/>
    <s v="Desk"/>
    <s v="Desk"/>
    <s v="Meena"/>
    <s v="Corporate"/>
    <n v="10"/>
    <n v="33501"/>
    <n v="15"/>
    <n v="284758.5"/>
    <n v="30013.3"/>
  </r>
  <r>
    <s v="ORD00465"/>
    <s v="2025-10-27"/>
    <x v="11"/>
    <x v="0"/>
    <s v="Odisha"/>
    <s v="Bhubaneswar"/>
    <x v="2"/>
    <s v="Notebook"/>
    <s v="Notebook"/>
    <s v="Priya"/>
    <s v="Retail"/>
    <n v="9"/>
    <n v="7362"/>
    <n v="20"/>
    <n v="53006.400000000001"/>
    <n v="13375.49"/>
  </r>
  <r>
    <s v="ORD00466"/>
    <s v="2025-10-06"/>
    <x v="11"/>
    <x v="2"/>
    <s v="Chandigarh"/>
    <s v="Chandigarh"/>
    <x v="0"/>
    <s v="Desk"/>
    <s v="Desk"/>
    <s v="Priya"/>
    <s v="Retail"/>
    <n v="5"/>
    <n v="40328"/>
    <n v="15"/>
    <n v="171394"/>
    <n v="16763.77"/>
  </r>
  <r>
    <s v="ORD00467"/>
    <s v="2025-12-28"/>
    <x v="3"/>
    <x v="2"/>
    <s v="Delhi"/>
    <s v="Delhi"/>
    <x v="2"/>
    <s v="Printer Paper"/>
    <s v="Printer Paper"/>
    <s v="Priya"/>
    <s v="Corporate"/>
    <n v="7"/>
    <n v="38055"/>
    <n v="15"/>
    <n v="226427.25"/>
    <n v="17322.95"/>
  </r>
  <r>
    <s v="ORD00468"/>
    <s v="2025-10-18"/>
    <x v="11"/>
    <x v="3"/>
    <s v="Maharashtra"/>
    <s v="Mumbai"/>
    <x v="1"/>
    <s v="Keyboard"/>
    <s v="Keyboard"/>
    <s v="Meena"/>
    <s v="Retail"/>
    <n v="10"/>
    <n v="34285"/>
    <n v="0"/>
    <n v="342850"/>
    <n v="42890.31"/>
  </r>
  <r>
    <s v="ORD00469"/>
    <s v="2026-02-14"/>
    <x v="9"/>
    <x v="2"/>
    <s v="Delhi"/>
    <s v="Delhi"/>
    <x v="1"/>
    <s v="Monitor"/>
    <s v="Monitor"/>
    <s v="Arun"/>
    <s v="Corporate"/>
    <n v="4"/>
    <n v="9224"/>
    <n v="5"/>
    <n v="35051.199999999997"/>
    <n v="6102.56"/>
  </r>
  <r>
    <s v="ORD00470"/>
    <s v="2025-12-22"/>
    <x v="3"/>
    <x v="0"/>
    <s v="West Bengal"/>
    <s v="Kolkata"/>
    <x v="1"/>
    <s v="Mobile"/>
    <s v="Mobile"/>
    <s v="John"/>
    <s v="Retail"/>
    <n v="6"/>
    <n v="12616"/>
    <n v="15"/>
    <n v="64341.599999999999"/>
    <n v="13259.21"/>
  </r>
  <r>
    <s v="ORD00471"/>
    <s v="2025-07-05"/>
    <x v="5"/>
    <x v="0"/>
    <s v="Odisha"/>
    <s v="Bhubaneswar"/>
    <x v="1"/>
    <s v="Mobile"/>
    <s v="Mobile"/>
    <s v="John"/>
    <s v="Retail"/>
    <n v="7"/>
    <n v="20571"/>
    <n v="5"/>
    <n v="136797.15"/>
    <n v="39541.72"/>
  </r>
  <r>
    <s v="ORD00472"/>
    <s v="2026-02-13"/>
    <x v="9"/>
    <x v="1"/>
    <s v="Karnataka"/>
    <s v="Bengaluru"/>
    <x v="2"/>
    <s v="Stapler"/>
    <s v="Stapler"/>
    <s v="Meena"/>
    <s v="Retail"/>
    <n v="8"/>
    <n v="37082"/>
    <n v="10"/>
    <n v="266990.40000000002"/>
    <n v="25713.25"/>
  </r>
  <r>
    <s v="ORD00473"/>
    <s v="2025-12-31"/>
    <x v="3"/>
    <x v="0"/>
    <s v="Odisha"/>
    <s v="Bhubaneswar"/>
    <x v="1"/>
    <s v="Mobile"/>
    <s v="Mobile"/>
    <s v="Meena"/>
    <s v="Corporate"/>
    <n v="8"/>
    <n v="26888"/>
    <n v="5"/>
    <n v="204348.79999999999"/>
    <n v="52554.3"/>
  </r>
  <r>
    <s v="ORD00474"/>
    <s v="2025-03-12"/>
    <x v="0"/>
    <x v="3"/>
    <s v="Maharashtra"/>
    <s v="Mumbai"/>
    <x v="0"/>
    <s v="Sofa"/>
    <s v="Sofa"/>
    <s v="Meena"/>
    <s v="Retail"/>
    <n v="8"/>
    <n v="14837"/>
    <n v="15"/>
    <n v="100891.6"/>
    <n v="21984.48"/>
  </r>
  <r>
    <s v="ORD00475"/>
    <s v="2026-01-20"/>
    <x v="4"/>
    <x v="1"/>
    <s v="Tamil Nadu"/>
    <s v="Chennai"/>
    <x v="0"/>
    <s v="Chair"/>
    <s v="Chair"/>
    <s v="John"/>
    <s v="Retail"/>
    <n v="7"/>
    <n v="6321"/>
    <n v="5"/>
    <n v="42034.65"/>
    <n v="10514.02"/>
  </r>
  <r>
    <s v="ORD00476"/>
    <s v="2025-06-10"/>
    <x v="1"/>
    <x v="1"/>
    <s v="Tamil Nadu"/>
    <s v="Chennai"/>
    <x v="0"/>
    <s v="Desk"/>
    <s v="Desk"/>
    <s v="Meena"/>
    <s v="Retail"/>
    <n v="8"/>
    <n v="42660"/>
    <n v="5"/>
    <n v="324216"/>
    <n v="93312.17"/>
  </r>
  <r>
    <s v="ORD00477"/>
    <s v="2026-02-01"/>
    <x v="9"/>
    <x v="1"/>
    <s v="Tamil Nadu"/>
    <s v="Chennai"/>
    <x v="2"/>
    <s v="Notebook"/>
    <s v="Notebook"/>
    <s v="Vicky"/>
    <s v="Retail"/>
    <n v="9"/>
    <n v="991"/>
    <n v="10"/>
    <n v="8027.1"/>
    <n v="1766.8"/>
  </r>
  <r>
    <s v="ORD00478"/>
    <s v="2025-09-10"/>
    <x v="10"/>
    <x v="3"/>
    <s v="Maharashtra"/>
    <s v="Mumbai"/>
    <x v="1"/>
    <s v="Laptop"/>
    <s v="Laptop"/>
    <s v="Vicky"/>
    <s v="Retail"/>
    <n v="1"/>
    <n v="15020"/>
    <n v="10"/>
    <n v="13518"/>
    <n v="3099.09"/>
  </r>
  <r>
    <s v="ORD00479"/>
    <s v="2025-05-07"/>
    <x v="6"/>
    <x v="0"/>
    <s v="West Bengal"/>
    <s v="Kolkata"/>
    <x v="0"/>
    <s v="Desk"/>
    <s v="Desk"/>
    <s v="Priya"/>
    <s v="Corporate"/>
    <n v="3"/>
    <n v="35815"/>
    <n v="10"/>
    <n v="96700.5"/>
    <n v="24106.240000000002"/>
  </r>
  <r>
    <s v="ORD00480"/>
    <s v="2025-08-30"/>
    <x v="8"/>
    <x v="3"/>
    <s v="Maharashtra"/>
    <s v="Mumbai"/>
    <x v="1"/>
    <s v="Keyboard"/>
    <s v="Keyboard"/>
    <s v="Rahul"/>
    <s v="Corporate"/>
    <n v="5"/>
    <n v="14336"/>
    <n v="0"/>
    <n v="71680"/>
    <n v="19951.96"/>
  </r>
  <r>
    <s v="ORD00481"/>
    <s v="2026-06-14"/>
    <x v="1"/>
    <x v="3"/>
    <s v="Maharashtra"/>
    <s v="Mumbai"/>
    <x v="1"/>
    <s v="Laptop"/>
    <s v="Laptop"/>
    <s v="Sneha"/>
    <s v="Corporate"/>
    <n v="4"/>
    <n v="25379"/>
    <n v="15"/>
    <n v="86288.6"/>
    <n v="14378.98"/>
  </r>
  <r>
    <s v="ORD00482"/>
    <s v="2025-09-11"/>
    <x v="10"/>
    <x v="3"/>
    <s v="Gujarat"/>
    <s v="Ahmedabad"/>
    <x v="1"/>
    <s v="Mobile"/>
    <s v="Mobile"/>
    <s v="John"/>
    <s v="Corporate"/>
    <n v="9"/>
    <n v="32030"/>
    <n v="15"/>
    <n v="245029.5"/>
    <n v="44465.57"/>
  </r>
  <r>
    <s v="ORD00483"/>
    <s v="2025-10-10"/>
    <x v="11"/>
    <x v="2"/>
    <s v="Delhi"/>
    <s v="Delhi"/>
    <x v="1"/>
    <s v="Laptop"/>
    <s v="Laptop"/>
    <s v="Amit"/>
    <s v="Corporate"/>
    <n v="3"/>
    <n v="8971"/>
    <n v="15"/>
    <n v="22876.05"/>
    <n v="3389.21"/>
  </r>
  <r>
    <s v="ORD00484"/>
    <s v="2025-04-12"/>
    <x v="2"/>
    <x v="2"/>
    <s v="Delhi"/>
    <s v="Delhi"/>
    <x v="2"/>
    <s v="Stapler"/>
    <s v="Stapler"/>
    <s v="Priya"/>
    <s v="Corporate"/>
    <n v="5"/>
    <n v="12318"/>
    <n v="5"/>
    <n v="58510.5"/>
    <n v="15282.77"/>
  </r>
  <r>
    <s v="ORD00485"/>
    <s v="2025-08-22"/>
    <x v="8"/>
    <x v="2"/>
    <s v="Chandigarh"/>
    <s v="Chandigarh"/>
    <x v="1"/>
    <s v="Mobile"/>
    <s v="Mobile"/>
    <s v="Vicky"/>
    <s v="Retail"/>
    <n v="10"/>
    <n v="29787"/>
    <n v="15"/>
    <n v="253189.5"/>
    <n v="64743.48"/>
  </r>
  <r>
    <s v="ORD00486"/>
    <s v="2026-02-28"/>
    <x v="9"/>
    <x v="1"/>
    <s v="Karnataka"/>
    <s v="Bengaluru"/>
    <x v="2"/>
    <s v="Stapler"/>
    <s v="Stapler"/>
    <s v="Priya"/>
    <s v="Retail"/>
    <n v="7"/>
    <n v="47405"/>
    <n v="20"/>
    <n v="265468"/>
    <n v="66180.009999999995"/>
  </r>
  <r>
    <s v="ORD00487"/>
    <s v="2025-06-06"/>
    <x v="1"/>
    <x v="3"/>
    <s v="Maharashtra"/>
    <s v="Mumbai"/>
    <x v="2"/>
    <s v="Printer Paper"/>
    <s v="Printer Paper"/>
    <s v="Meena"/>
    <s v="Retail"/>
    <n v="8"/>
    <n v="35650"/>
    <n v="10"/>
    <n v="256680"/>
    <n v="66123.91"/>
  </r>
  <r>
    <s v="ORD00488"/>
    <s v="2025-03-05"/>
    <x v="0"/>
    <x v="0"/>
    <s v="Odisha"/>
    <s v="Bhubaneswar"/>
    <x v="1"/>
    <s v="Keyboard"/>
    <s v="Keyboard"/>
    <s v="Priya"/>
    <s v="Corporate"/>
    <n v="6"/>
    <n v="47466"/>
    <n v="0"/>
    <n v="284796"/>
    <n v="29325.41"/>
  </r>
  <r>
    <s v="ORD00489"/>
    <s v="2025-10-18"/>
    <x v="11"/>
    <x v="0"/>
    <s v="Odisha"/>
    <s v="Bhubaneswar"/>
    <x v="0"/>
    <s v="Desk"/>
    <s v="Desk"/>
    <s v="Rahul"/>
    <s v="Retail"/>
    <n v="2"/>
    <n v="32489"/>
    <n v="5"/>
    <n v="61729.1"/>
    <n v="12416.3"/>
  </r>
  <r>
    <s v="ORD00490"/>
    <s v="2025-12-19"/>
    <x v="3"/>
    <x v="0"/>
    <s v="West Bengal"/>
    <s v="Kolkata"/>
    <x v="1"/>
    <s v="Laptop"/>
    <s v="Laptop"/>
    <s v="Sneha"/>
    <s v="Corporate"/>
    <n v="8"/>
    <n v="27310"/>
    <n v="5"/>
    <n v="207556"/>
    <n v="36263.61"/>
  </r>
  <r>
    <s v="ORD00491"/>
    <s v="2026-03-01"/>
    <x v="0"/>
    <x v="0"/>
    <s v="Odisha"/>
    <s v="Bhubaneswar"/>
    <x v="2"/>
    <s v="Pen"/>
    <s v="Pen"/>
    <s v="Rahul"/>
    <s v="Corporate"/>
    <n v="5"/>
    <n v="35111"/>
    <n v="10"/>
    <n v="157999.5"/>
    <n v="18091.2"/>
  </r>
  <r>
    <s v="ORD00492"/>
    <s v="2025-12-22"/>
    <x v="3"/>
    <x v="1"/>
    <s v="Karnataka"/>
    <s v="Bengaluru"/>
    <x v="0"/>
    <s v="Table"/>
    <s v="Table"/>
    <s v="Vicky"/>
    <s v="Retail"/>
    <n v="4"/>
    <n v="44926"/>
    <n v="20"/>
    <n v="143763.20000000001"/>
    <n v="30786.81"/>
  </r>
  <r>
    <s v="ORD00493"/>
    <s v="2025-07-02"/>
    <x v="5"/>
    <x v="1"/>
    <s v="Karnataka"/>
    <s v="Bengaluru"/>
    <x v="0"/>
    <s v="Chair"/>
    <s v="Chair"/>
    <s v="Meena"/>
    <s v="Retail"/>
    <n v="5"/>
    <n v="8796"/>
    <n v="20"/>
    <n v="35184"/>
    <n v="4156.0600000000004"/>
  </r>
  <r>
    <s v="ORD00494"/>
    <s v="2026-05-26"/>
    <x v="6"/>
    <x v="3"/>
    <s v="Gujarat"/>
    <s v="Ahmedabad"/>
    <x v="0"/>
    <s v="Table"/>
    <s v="Table"/>
    <s v="Rahul"/>
    <s v="Corporate"/>
    <n v="5"/>
    <n v="16603"/>
    <n v="15"/>
    <n v="70562.75"/>
    <n v="10757.1"/>
  </r>
  <r>
    <s v="ORD00495"/>
    <s v="2026-01-14"/>
    <x v="4"/>
    <x v="1"/>
    <s v="Tamil Nadu"/>
    <s v="Chennai"/>
    <x v="2"/>
    <s v="Printer Paper"/>
    <s v="Printer Paper"/>
    <s v="Vicky"/>
    <s v="Corporate"/>
    <n v="4"/>
    <n v="32366"/>
    <n v="5"/>
    <n v="122990.8"/>
    <n v="19165.63"/>
  </r>
  <r>
    <s v="ORD00496"/>
    <s v="2026-04-24"/>
    <x v="2"/>
    <x v="1"/>
    <s v="Tamil Nadu"/>
    <s v="Chennai"/>
    <x v="2"/>
    <s v="Pen"/>
    <s v="Pen"/>
    <s v="Meena"/>
    <s v="Retail"/>
    <n v="2"/>
    <n v="32994"/>
    <n v="10"/>
    <n v="59389.2"/>
    <n v="8185.51"/>
  </r>
  <r>
    <s v="ORD00497"/>
    <s v="2025-07-09"/>
    <x v="5"/>
    <x v="2"/>
    <s v="Chandigarh"/>
    <s v="Chandigarh"/>
    <x v="0"/>
    <s v="Desk"/>
    <s v="Desk"/>
    <s v="Vicky"/>
    <s v="Retail"/>
    <n v="7"/>
    <n v="48678"/>
    <n v="10"/>
    <n v="306671.40000000002"/>
    <n v="35778.68"/>
  </r>
  <r>
    <s v="ORD00498"/>
    <s v="2025-05-22"/>
    <x v="6"/>
    <x v="3"/>
    <s v="Gujarat"/>
    <s v="Ahmedabad"/>
    <x v="2"/>
    <s v="Pen"/>
    <s v="Pen"/>
    <s v="Sneha"/>
    <s v="Corporate"/>
    <n v="4"/>
    <n v="34718"/>
    <n v="20"/>
    <n v="111097.60000000001"/>
    <n v="27771.14"/>
  </r>
  <r>
    <s v="ORD00499"/>
    <s v="2025-01-15"/>
    <x v="4"/>
    <x v="2"/>
    <s v="Chandigarh"/>
    <s v="Chandigarh"/>
    <x v="0"/>
    <s v="Chair"/>
    <s v="Chair"/>
    <s v="Vicky"/>
    <s v="Corporate"/>
    <n v="10"/>
    <n v="31660"/>
    <n v="10"/>
    <n v="284940"/>
    <n v="41828.94"/>
  </r>
  <r>
    <s v="ORD00500"/>
    <s v="2025-03-19"/>
    <x v="0"/>
    <x v="2"/>
    <s v="Delhi"/>
    <s v="Delhi"/>
    <x v="0"/>
    <s v="Table"/>
    <s v="Table"/>
    <s v="Amit"/>
    <s v="Corporate"/>
    <n v="2"/>
    <n v="12823"/>
    <n v="5"/>
    <n v="24363.7"/>
    <n v="3897.12"/>
  </r>
  <r>
    <s v="ORD00501"/>
    <s v="2026-05-07"/>
    <x v="6"/>
    <x v="3"/>
    <s v="Gujarat"/>
    <s v="Ahmedabad"/>
    <x v="0"/>
    <s v="Sofa"/>
    <s v="Sofa"/>
    <s v="Vicky"/>
    <s v="Retail"/>
    <n v="7"/>
    <n v="44463"/>
    <n v="15"/>
    <n v="264554.84999999998"/>
    <n v="50084.1"/>
  </r>
  <r>
    <s v="ORD00502"/>
    <s v="2025-05-27"/>
    <x v="6"/>
    <x v="2"/>
    <s v="Chandigarh"/>
    <s v="Chandigarh"/>
    <x v="2"/>
    <s v="Notebook"/>
    <s v="Notebook"/>
    <s v="Rahul"/>
    <s v="Retail"/>
    <n v="3"/>
    <n v="42811"/>
    <n v="15"/>
    <n v="109168.05"/>
    <n v="13944.94"/>
  </r>
  <r>
    <s v="ORD00503"/>
    <s v="2025-08-20"/>
    <x v="8"/>
    <x v="3"/>
    <s v="Gujarat"/>
    <s v="Ahmedabad"/>
    <x v="0"/>
    <s v="Desk"/>
    <s v="Desk"/>
    <s v="John"/>
    <s v="Corporate"/>
    <n v="1"/>
    <n v="19607"/>
    <n v="5"/>
    <n v="18626.650000000001"/>
    <n v="3194.98"/>
  </r>
  <r>
    <s v="ORD00504"/>
    <s v="2025-10-19"/>
    <x v="11"/>
    <x v="2"/>
    <s v="Delhi"/>
    <s v="Delhi"/>
    <x v="1"/>
    <s v="Monitor"/>
    <s v="Monitor"/>
    <s v="Amit"/>
    <s v="Retail"/>
    <n v="6"/>
    <n v="35176"/>
    <n v="15"/>
    <n v="179397.6"/>
    <n v="51299.51"/>
  </r>
  <r>
    <s v="ORD00505"/>
    <s v="2025-11-03"/>
    <x v="7"/>
    <x v="2"/>
    <s v="Chandigarh"/>
    <s v="Chandigarh"/>
    <x v="1"/>
    <s v="Laptop"/>
    <s v="Laptop"/>
    <s v="Sneha"/>
    <s v="Retail"/>
    <n v="7"/>
    <n v="13920"/>
    <n v="15"/>
    <n v="82824"/>
    <n v="18884.439999999999"/>
  </r>
  <r>
    <s v="ORD00506"/>
    <s v="2025-02-11"/>
    <x v="9"/>
    <x v="2"/>
    <s v="Chandigarh"/>
    <s v="Chandigarh"/>
    <x v="2"/>
    <s v="Printer Paper"/>
    <s v="Printer Paper"/>
    <s v="Rahul"/>
    <s v="Retail"/>
    <n v="1"/>
    <n v="29637"/>
    <n v="5"/>
    <n v="28155.15"/>
    <n v="7896.4"/>
  </r>
  <r>
    <s v="ORD00507"/>
    <s v="2025-05-12"/>
    <x v="6"/>
    <x v="2"/>
    <s v="Delhi"/>
    <s v="Delhi"/>
    <x v="0"/>
    <s v="Desk"/>
    <s v="Desk"/>
    <s v="Arun"/>
    <s v="Retail"/>
    <n v="10"/>
    <n v="17145"/>
    <n v="20"/>
    <n v="137160"/>
    <n v="36410.83"/>
  </r>
  <r>
    <s v="ORD00508"/>
    <s v="2026-05-29"/>
    <x v="6"/>
    <x v="0"/>
    <s v="West Bengal"/>
    <s v="Kolkata"/>
    <x v="0"/>
    <s v="Chair"/>
    <s v="Chair"/>
    <s v="Priya"/>
    <s v="Corporate"/>
    <n v="1"/>
    <n v="32735"/>
    <n v="0"/>
    <n v="32735"/>
    <n v="7403.16"/>
  </r>
  <r>
    <s v="ORD00509"/>
    <s v="2025-02-23"/>
    <x v="9"/>
    <x v="1"/>
    <s v="Karnataka"/>
    <s v="Bengaluru"/>
    <x v="1"/>
    <s v="Keyboard"/>
    <s v="Keyboard"/>
    <s v="Rahul"/>
    <s v="Retail"/>
    <n v="3"/>
    <n v="3550"/>
    <n v="10"/>
    <n v="9585"/>
    <n v="770.46"/>
  </r>
  <r>
    <s v="ORD00510"/>
    <s v="2026-05-31"/>
    <x v="6"/>
    <x v="0"/>
    <s v="Odisha"/>
    <s v="Bhubaneswar"/>
    <x v="1"/>
    <s v="Monitor"/>
    <s v="Monitor"/>
    <s v="John"/>
    <s v="Retail"/>
    <n v="7"/>
    <n v="9256"/>
    <n v="15"/>
    <n v="55073.2"/>
    <n v="14024.61"/>
  </r>
  <r>
    <s v="ORD00511"/>
    <s v="2026-05-21"/>
    <x v="6"/>
    <x v="0"/>
    <s v="West Bengal"/>
    <s v="Kolkata"/>
    <x v="1"/>
    <s v="Monitor"/>
    <s v="Monitor"/>
    <s v="Arun"/>
    <s v="Retail"/>
    <n v="5"/>
    <n v="49676"/>
    <n v="15"/>
    <n v="211123"/>
    <n v="37411.57"/>
  </r>
  <r>
    <s v="ORD00512"/>
    <s v="2026-03-09"/>
    <x v="0"/>
    <x v="3"/>
    <s v="Gujarat"/>
    <s v="Ahmedabad"/>
    <x v="1"/>
    <s v="Keyboard"/>
    <s v="Keyboard"/>
    <s v="Arun"/>
    <s v="Retail"/>
    <n v="7"/>
    <n v="31753"/>
    <n v="15"/>
    <n v="188930.35"/>
    <n v="32540.52"/>
  </r>
  <r>
    <s v="ORD00513"/>
    <s v="2026-02-20"/>
    <x v="9"/>
    <x v="3"/>
    <s v="Maharashtra"/>
    <s v="Mumbai"/>
    <x v="2"/>
    <s v="Stapler"/>
    <s v="Stapler"/>
    <s v="Rahul"/>
    <s v="Retail"/>
    <n v="2"/>
    <n v="22587"/>
    <n v="0"/>
    <n v="45174"/>
    <n v="10576.08"/>
  </r>
  <r>
    <s v="ORD00514"/>
    <s v="2025-04-20"/>
    <x v="2"/>
    <x v="2"/>
    <s v="Chandigarh"/>
    <s v="Chandigarh"/>
    <x v="1"/>
    <s v="Laptop"/>
    <s v="Laptop"/>
    <s v="Arun"/>
    <s v="Corporate"/>
    <n v="9"/>
    <n v="41688"/>
    <n v="20"/>
    <n v="300153.59999999998"/>
    <n v="63714.68"/>
  </r>
  <r>
    <s v="ORD00515"/>
    <s v="2025-09-30"/>
    <x v="10"/>
    <x v="2"/>
    <s v="Chandigarh"/>
    <s v="Chandigarh"/>
    <x v="1"/>
    <s v="Laptop"/>
    <s v="Laptop"/>
    <s v="Rahul"/>
    <s v="Retail"/>
    <n v="6"/>
    <n v="13084"/>
    <n v="5"/>
    <n v="74578.8"/>
    <n v="12976.83"/>
  </r>
  <r>
    <s v="ORD00516"/>
    <s v="2026-06-10"/>
    <x v="1"/>
    <x v="1"/>
    <s v="Tamil Nadu"/>
    <s v="Chennai"/>
    <x v="1"/>
    <s v="Monitor"/>
    <s v="Monitor"/>
    <s v="Vicky"/>
    <s v="Corporate"/>
    <n v="9"/>
    <n v="42967"/>
    <n v="20"/>
    <n v="309362.40000000002"/>
    <n v="81438.100000000006"/>
  </r>
  <r>
    <s v="ORD00517"/>
    <s v="2026-01-24"/>
    <x v="4"/>
    <x v="3"/>
    <s v="Gujarat"/>
    <s v="Ahmedabad"/>
    <x v="1"/>
    <s v="Mobile"/>
    <s v="Mobile"/>
    <s v="Sneha"/>
    <s v="Retail"/>
    <n v="9"/>
    <n v="45685"/>
    <n v="15"/>
    <n v="349490.25"/>
    <n v="41722.69"/>
  </r>
  <r>
    <s v="ORD00518"/>
    <s v="2025-01-25"/>
    <x v="4"/>
    <x v="3"/>
    <s v="Maharashtra"/>
    <s v="Mumbai"/>
    <x v="1"/>
    <s v="Keyboard"/>
    <s v="Keyboard"/>
    <s v="Priya"/>
    <s v="Retail"/>
    <n v="3"/>
    <n v="36151"/>
    <n v="5"/>
    <n v="103030.35"/>
    <n v="24037.05"/>
  </r>
  <r>
    <s v="ORD00519"/>
    <s v="2025-06-12"/>
    <x v="1"/>
    <x v="1"/>
    <s v="Karnataka"/>
    <s v="Bengaluru"/>
    <x v="1"/>
    <s v="Monitor"/>
    <s v="Monitor"/>
    <s v="Rahul"/>
    <s v="Corporate"/>
    <n v="6"/>
    <n v="45687"/>
    <n v="10"/>
    <n v="246709.8"/>
    <n v="30473.200000000001"/>
  </r>
  <r>
    <s v="ORD00520"/>
    <s v="2025-08-29"/>
    <x v="8"/>
    <x v="1"/>
    <s v="Tamil Nadu"/>
    <s v="Chennai"/>
    <x v="2"/>
    <s v="Pen"/>
    <s v="Pen"/>
    <s v="Vicky"/>
    <s v="Corporate"/>
    <n v="3"/>
    <n v="2031"/>
    <n v="20"/>
    <n v="4874.3999999999996"/>
    <n v="657.04"/>
  </r>
  <r>
    <s v="ORD00521"/>
    <s v="2025-06-19"/>
    <x v="1"/>
    <x v="2"/>
    <s v="Chandigarh"/>
    <s v="Chandigarh"/>
    <x v="2"/>
    <s v="Notebook"/>
    <s v="Notebook"/>
    <s v="Priya"/>
    <s v="Corporate"/>
    <n v="8"/>
    <n v="19009"/>
    <n v="5"/>
    <n v="144468.4"/>
    <n v="28437.8"/>
  </r>
  <r>
    <s v="ORD00522"/>
    <s v="2025-04-12"/>
    <x v="2"/>
    <x v="2"/>
    <s v="Chandigarh"/>
    <s v="Chandigarh"/>
    <x v="1"/>
    <s v="Keyboard"/>
    <s v="Keyboard"/>
    <s v="Amit"/>
    <s v="Retail"/>
    <n v="3"/>
    <n v="44560"/>
    <n v="15"/>
    <n v="113628"/>
    <n v="30095.47"/>
  </r>
  <r>
    <s v="ORD00523"/>
    <s v="2026-03-09"/>
    <x v="0"/>
    <x v="0"/>
    <s v="West Bengal"/>
    <s v="Kolkata"/>
    <x v="2"/>
    <s v="Notebook"/>
    <s v="Notebook"/>
    <s v="John"/>
    <s v="Retail"/>
    <n v="6"/>
    <n v="29521"/>
    <n v="10"/>
    <n v="159413.4"/>
    <n v="34160.519999999997"/>
  </r>
  <r>
    <s v="ORD00524"/>
    <s v="2026-06-10"/>
    <x v="1"/>
    <x v="0"/>
    <s v="Odisha"/>
    <s v="Bhubaneswar"/>
    <x v="1"/>
    <s v="Mobile"/>
    <s v="Mobile"/>
    <s v="John"/>
    <s v="Retail"/>
    <n v="9"/>
    <n v="3955"/>
    <n v="5"/>
    <n v="33815.25"/>
    <n v="5730.46"/>
  </r>
  <r>
    <s v="ORD00525"/>
    <s v="2025-10-19"/>
    <x v="11"/>
    <x v="3"/>
    <s v="Gujarat"/>
    <s v="Ahmedabad"/>
    <x v="1"/>
    <s v="Mobile"/>
    <s v="Mobile"/>
    <s v="Arun"/>
    <s v="Retail"/>
    <n v="5"/>
    <n v="27010"/>
    <n v="20"/>
    <n v="108040"/>
    <n v="13602.64"/>
  </r>
  <r>
    <s v="ORD00526"/>
    <s v="2025-06-21"/>
    <x v="1"/>
    <x v="0"/>
    <s v="Odisha"/>
    <s v="Bhubaneswar"/>
    <x v="0"/>
    <s v="Desk"/>
    <s v="Desk"/>
    <s v="Arun"/>
    <s v="Retail"/>
    <n v="6"/>
    <n v="1923"/>
    <n v="0"/>
    <n v="11538"/>
    <n v="1017.08"/>
  </r>
  <r>
    <s v="ORD00527"/>
    <s v="2025-02-22"/>
    <x v="9"/>
    <x v="3"/>
    <s v="Maharashtra"/>
    <s v="Mumbai"/>
    <x v="0"/>
    <s v="Sofa"/>
    <s v="Sofa"/>
    <s v="Amit"/>
    <s v="Retail"/>
    <n v="7"/>
    <n v="33950"/>
    <n v="10"/>
    <n v="213885"/>
    <n v="38064.660000000003"/>
  </r>
  <r>
    <s v="ORD00528"/>
    <s v="2026-05-02"/>
    <x v="6"/>
    <x v="1"/>
    <s v="Karnataka"/>
    <s v="Bengaluru"/>
    <x v="2"/>
    <s v="Pen"/>
    <s v="Pen"/>
    <s v="Meena"/>
    <s v="Retail"/>
    <n v="6"/>
    <n v="46474"/>
    <n v="15"/>
    <n v="237017.4"/>
    <n v="29202.29"/>
  </r>
  <r>
    <s v="ORD00529"/>
    <s v="2025-09-17"/>
    <x v="10"/>
    <x v="2"/>
    <s v="Delhi"/>
    <s v="Delhi"/>
    <x v="0"/>
    <s v="Chair"/>
    <s v="Chair"/>
    <s v="Sneha"/>
    <s v="Corporate"/>
    <n v="8"/>
    <n v="49327"/>
    <n v="15"/>
    <n v="335423.59999999998"/>
    <n v="76369.39"/>
  </r>
  <r>
    <s v="ORD00530"/>
    <s v="2026-03-02"/>
    <x v="0"/>
    <x v="2"/>
    <s v="Delhi"/>
    <s v="Delhi"/>
    <x v="0"/>
    <s v="Chair"/>
    <s v="Chair"/>
    <s v="Sneha"/>
    <s v="Corporate"/>
    <n v="2"/>
    <n v="41387"/>
    <n v="5"/>
    <n v="78635.3"/>
    <n v="12286.25"/>
  </r>
  <r>
    <s v="ORD00531"/>
    <s v="2026-06-19"/>
    <x v="1"/>
    <x v="0"/>
    <s v="Odisha"/>
    <s v="Bhubaneswar"/>
    <x v="2"/>
    <s v="Pen"/>
    <s v="Pen"/>
    <s v="Arun"/>
    <s v="Corporate"/>
    <n v="1"/>
    <n v="5871"/>
    <n v="10"/>
    <n v="5283.9"/>
    <n v="1455.61"/>
  </r>
  <r>
    <s v="ORD00532"/>
    <s v="2025-02-04"/>
    <x v="9"/>
    <x v="1"/>
    <s v="Karnataka"/>
    <s v="Bengaluru"/>
    <x v="0"/>
    <s v="Desk"/>
    <s v="Desk"/>
    <s v="John"/>
    <s v="Corporate"/>
    <n v="3"/>
    <n v="37853"/>
    <n v="20"/>
    <n v="90847.2"/>
    <n v="12551.84"/>
  </r>
  <r>
    <s v="ORD00533"/>
    <s v="2026-02-25"/>
    <x v="9"/>
    <x v="3"/>
    <s v="Gujarat"/>
    <s v="Ahmedabad"/>
    <x v="1"/>
    <s v="Keyboard"/>
    <s v="Keyboard"/>
    <s v="Meena"/>
    <s v="Corporate"/>
    <n v="1"/>
    <n v="15371"/>
    <n v="15"/>
    <n v="13065.35"/>
    <n v="3703.34"/>
  </r>
  <r>
    <s v="ORD00534"/>
    <s v="2025-04-21"/>
    <x v="2"/>
    <x v="3"/>
    <s v="Maharashtra"/>
    <s v="Mumbai"/>
    <x v="1"/>
    <s v="Mobile"/>
    <s v="Mobile"/>
    <s v="Sneha"/>
    <s v="Corporate"/>
    <n v="3"/>
    <n v="34172"/>
    <n v="5"/>
    <n v="97390.2"/>
    <n v="7416.01"/>
  </r>
  <r>
    <s v="ORD00535"/>
    <s v="2025-10-24"/>
    <x v="11"/>
    <x v="2"/>
    <s v="Delhi"/>
    <s v="Delhi"/>
    <x v="1"/>
    <s v="Laptop"/>
    <s v="Laptop"/>
    <s v="John"/>
    <s v="Retail"/>
    <n v="5"/>
    <n v="42761"/>
    <n v="5"/>
    <n v="203114.75"/>
    <n v="33342.269999999997"/>
  </r>
  <r>
    <s v="ORD00536"/>
    <s v="2025-07-17"/>
    <x v="5"/>
    <x v="2"/>
    <s v="Delhi"/>
    <s v="Delhi"/>
    <x v="1"/>
    <s v="Mobile"/>
    <s v="Mobile"/>
    <s v="Priya"/>
    <s v="Retail"/>
    <n v="9"/>
    <n v="28091"/>
    <n v="0"/>
    <n v="252819"/>
    <n v="67918.259999999995"/>
  </r>
  <r>
    <s v="ORD00537"/>
    <s v="2025-05-28"/>
    <x v="6"/>
    <x v="1"/>
    <s v="Karnataka"/>
    <s v="Bengaluru"/>
    <x v="1"/>
    <s v="Mobile"/>
    <s v="Mobile"/>
    <s v="Priya"/>
    <s v="Corporate"/>
    <n v="9"/>
    <n v="19891"/>
    <n v="0"/>
    <n v="179019"/>
    <n v="36633.79"/>
  </r>
  <r>
    <s v="ORD00538"/>
    <s v="2025-04-24"/>
    <x v="2"/>
    <x v="1"/>
    <s v="Karnataka"/>
    <s v="Bengaluru"/>
    <x v="0"/>
    <s v="Chair"/>
    <s v="Chair"/>
    <s v="Arun"/>
    <s v="Corporate"/>
    <n v="6"/>
    <n v="18469"/>
    <n v="0"/>
    <n v="110814"/>
    <n v="23001.68"/>
  </r>
  <r>
    <s v="ORD00539"/>
    <s v="2025-03-19"/>
    <x v="0"/>
    <x v="1"/>
    <s v="Tamil Nadu"/>
    <s v="Chennai"/>
    <x v="1"/>
    <s v="Laptop"/>
    <s v="Laptop"/>
    <s v="Meena"/>
    <s v="Retail"/>
    <n v="6"/>
    <n v="33435"/>
    <n v="20"/>
    <n v="160488"/>
    <n v="37384.51"/>
  </r>
  <r>
    <s v="ORD00540"/>
    <s v="2026-04-10"/>
    <x v="2"/>
    <x v="1"/>
    <s v="Tamil Nadu"/>
    <s v="Chennai"/>
    <x v="2"/>
    <s v="Stapler"/>
    <s v="Stapler"/>
    <s v="Meena"/>
    <s v="Corporate"/>
    <n v="10"/>
    <n v="9921"/>
    <n v="5"/>
    <n v="94249.5"/>
    <n v="9943.2099999999991"/>
  </r>
  <r>
    <s v="ORD00541"/>
    <s v="2025-04-19"/>
    <x v="2"/>
    <x v="3"/>
    <s v="Gujarat"/>
    <s v="Ahmedabad"/>
    <x v="0"/>
    <s v="Desk"/>
    <s v="Desk"/>
    <s v="Sneha"/>
    <s v="Corporate"/>
    <n v="7"/>
    <n v="39363"/>
    <n v="15"/>
    <n v="234209.85"/>
    <n v="19744.02"/>
  </r>
  <r>
    <s v="ORD00542"/>
    <s v="2025-08-24"/>
    <x v="8"/>
    <x v="0"/>
    <s v="West Bengal"/>
    <s v="Kolkata"/>
    <x v="1"/>
    <s v="Laptop"/>
    <s v="Laptop"/>
    <s v="Amit"/>
    <s v="Corporate"/>
    <n v="4"/>
    <n v="41132"/>
    <n v="0"/>
    <n v="164528"/>
    <n v="45102.12"/>
  </r>
  <r>
    <s v="ORD00543"/>
    <s v="2025-03-13"/>
    <x v="0"/>
    <x v="0"/>
    <s v="Odisha"/>
    <s v="Bhubaneswar"/>
    <x v="2"/>
    <s v="Pen"/>
    <s v="Pen"/>
    <s v="Meena"/>
    <s v="Retail"/>
    <n v="7"/>
    <n v="7770"/>
    <n v="0"/>
    <n v="54390"/>
    <n v="8110.69"/>
  </r>
  <r>
    <s v="ORD00544"/>
    <s v="2026-02-18"/>
    <x v="9"/>
    <x v="2"/>
    <s v="Chandigarh"/>
    <s v="Chandigarh"/>
    <x v="1"/>
    <s v="Mobile"/>
    <s v="Mobile"/>
    <s v="Sneha"/>
    <s v="Corporate"/>
    <n v="4"/>
    <n v="17157"/>
    <n v="20"/>
    <n v="54902.400000000001"/>
    <n v="2868.57"/>
  </r>
  <r>
    <s v="ORD00545"/>
    <s v="2025-12-07"/>
    <x v="3"/>
    <x v="3"/>
    <s v="Maharashtra"/>
    <s v="Mumbai"/>
    <x v="0"/>
    <s v="Desk"/>
    <s v="Desk"/>
    <s v="Sneha"/>
    <s v="Corporate"/>
    <n v="2"/>
    <n v="13069"/>
    <n v="5"/>
    <n v="24831.1"/>
    <n v="3054.38"/>
  </r>
  <r>
    <s v="ORD00546"/>
    <s v="2025-12-08"/>
    <x v="3"/>
    <x v="3"/>
    <s v="Gujarat"/>
    <s v="Ahmedabad"/>
    <x v="2"/>
    <s v="Notebook"/>
    <s v="Notebook"/>
    <s v="Priya"/>
    <s v="Corporate"/>
    <n v="9"/>
    <n v="7927"/>
    <n v="10"/>
    <n v="64208.7"/>
    <n v="10177.6"/>
  </r>
  <r>
    <s v="ORD00547"/>
    <s v="2025-02-28"/>
    <x v="9"/>
    <x v="0"/>
    <s v="West Bengal"/>
    <s v="Kolkata"/>
    <x v="0"/>
    <s v="Chair"/>
    <s v="Chair"/>
    <s v="Meena"/>
    <s v="Retail"/>
    <n v="8"/>
    <n v="23877"/>
    <n v="10"/>
    <n v="171914.4"/>
    <n v="11217.93"/>
  </r>
  <r>
    <s v="ORD00548"/>
    <s v="2026-02-21"/>
    <x v="9"/>
    <x v="1"/>
    <s v="Karnataka"/>
    <s v="Bengaluru"/>
    <x v="0"/>
    <s v="Sofa"/>
    <s v="Sofa"/>
    <s v="John"/>
    <s v="Corporate"/>
    <n v="10"/>
    <n v="27931"/>
    <n v="0"/>
    <n v="279310"/>
    <n v="19454.52"/>
  </r>
  <r>
    <s v="ORD00549"/>
    <s v="2025-01-17"/>
    <x v="4"/>
    <x v="0"/>
    <s v="Odisha"/>
    <s v="Bhubaneswar"/>
    <x v="0"/>
    <s v="Desk"/>
    <s v="Desk"/>
    <s v="Vicky"/>
    <s v="Retail"/>
    <n v="8"/>
    <n v="18871"/>
    <n v="10"/>
    <n v="135871.20000000001"/>
    <n v="15939.88"/>
  </r>
  <r>
    <s v="ORD00550"/>
    <s v="2026-03-14"/>
    <x v="0"/>
    <x v="3"/>
    <s v="Maharashtra"/>
    <s v="Mumbai"/>
    <x v="1"/>
    <s v="Monitor"/>
    <s v="Monitor"/>
    <s v="Meena"/>
    <s v="Retail"/>
    <n v="8"/>
    <n v="44257"/>
    <n v="20"/>
    <n v="283244.79999999999"/>
    <n v="38895.96"/>
  </r>
  <r>
    <s v="ORD00551"/>
    <s v="2026-03-30"/>
    <x v="0"/>
    <x v="3"/>
    <s v="Gujarat"/>
    <s v="Ahmedabad"/>
    <x v="2"/>
    <s v="Notebook"/>
    <s v="Notebook"/>
    <s v="Sneha"/>
    <s v="Retail"/>
    <n v="1"/>
    <n v="36641"/>
    <n v="20"/>
    <n v="29312.799999999999"/>
    <n v="7011.79"/>
  </r>
  <r>
    <s v="ORD00552"/>
    <s v="2025-05-19"/>
    <x v="6"/>
    <x v="2"/>
    <s v="Delhi"/>
    <s v="Delhi"/>
    <x v="0"/>
    <s v="Sofa"/>
    <s v="Sofa"/>
    <s v="Sneha"/>
    <s v="Retail"/>
    <n v="6"/>
    <n v="8476"/>
    <n v="20"/>
    <n v="40684.800000000003"/>
    <n v="2666.81"/>
  </r>
  <r>
    <s v="ORD00553"/>
    <s v="2025-03-31"/>
    <x v="0"/>
    <x v="0"/>
    <s v="West Bengal"/>
    <s v="Kolkata"/>
    <x v="2"/>
    <s v="Stapler"/>
    <s v="Stapler"/>
    <s v="John"/>
    <s v="Retail"/>
    <n v="6"/>
    <n v="49886"/>
    <n v="0"/>
    <n v="299316"/>
    <n v="84892.42"/>
  </r>
  <r>
    <s v="ORD00554"/>
    <s v="2026-01-01"/>
    <x v="4"/>
    <x v="1"/>
    <s v="Tamil Nadu"/>
    <s v="Chennai"/>
    <x v="2"/>
    <s v="Printer Paper"/>
    <s v="Printer Paper"/>
    <s v="Amit"/>
    <s v="Retail"/>
    <n v="10"/>
    <n v="33545"/>
    <n v="15"/>
    <n v="285132.5"/>
    <n v="60638.07"/>
  </r>
  <r>
    <s v="ORD00555"/>
    <s v="2025-12-18"/>
    <x v="3"/>
    <x v="3"/>
    <s v="Gujarat"/>
    <s v="Ahmedabad"/>
    <x v="2"/>
    <s v="Pen"/>
    <s v="Pen"/>
    <s v="Vicky"/>
    <s v="Retail"/>
    <n v="5"/>
    <n v="5446"/>
    <n v="15"/>
    <n v="23145.5"/>
    <n v="2574.7800000000002"/>
  </r>
  <r>
    <s v="ORD00556"/>
    <s v="2025-07-21"/>
    <x v="5"/>
    <x v="2"/>
    <s v="Delhi"/>
    <s v="Delhi"/>
    <x v="0"/>
    <s v="Chair"/>
    <s v="Chair"/>
    <s v="Arun"/>
    <s v="Retail"/>
    <n v="8"/>
    <n v="28138"/>
    <n v="5"/>
    <n v="213848.8"/>
    <n v="16580.87"/>
  </r>
  <r>
    <s v="ORD00557"/>
    <s v="2025-10-25"/>
    <x v="11"/>
    <x v="2"/>
    <s v="Delhi"/>
    <s v="Delhi"/>
    <x v="2"/>
    <s v="Notebook"/>
    <s v="Notebook"/>
    <s v="John"/>
    <s v="Corporate"/>
    <n v="8"/>
    <n v="8816"/>
    <n v="0"/>
    <n v="70528"/>
    <n v="12080.56"/>
  </r>
  <r>
    <s v="ORD00558"/>
    <s v="2025-04-02"/>
    <x v="2"/>
    <x v="1"/>
    <s v="Karnataka"/>
    <s v="Bengaluru"/>
    <x v="2"/>
    <s v="Printer Paper"/>
    <s v="Printer Paper"/>
    <s v="Arun"/>
    <s v="Corporate"/>
    <n v="5"/>
    <n v="36098"/>
    <n v="20"/>
    <n v="144392"/>
    <n v="21891.03"/>
  </r>
  <r>
    <s v="ORD00559"/>
    <s v="2026-05-24"/>
    <x v="6"/>
    <x v="3"/>
    <s v="Gujarat"/>
    <s v="Ahmedabad"/>
    <x v="2"/>
    <s v="Printer Paper"/>
    <s v="Printer Paper"/>
    <s v="John"/>
    <s v="Retail"/>
    <n v="10"/>
    <n v="43159"/>
    <n v="20"/>
    <n v="345272"/>
    <n v="36765.14"/>
  </r>
  <r>
    <s v="ORD00560"/>
    <s v="2026-02-14"/>
    <x v="9"/>
    <x v="0"/>
    <s v="West Bengal"/>
    <s v="Kolkata"/>
    <x v="0"/>
    <s v="Sofa"/>
    <s v="Sofa"/>
    <s v="Amit"/>
    <s v="Corporate"/>
    <n v="2"/>
    <n v="7341"/>
    <n v="20"/>
    <n v="11745.6"/>
    <n v="2406.06"/>
  </r>
  <r>
    <s v="ORD00561"/>
    <s v="2025-05-07"/>
    <x v="6"/>
    <x v="1"/>
    <s v="Tamil Nadu"/>
    <s v="Chennai"/>
    <x v="2"/>
    <s v="Printer Paper"/>
    <s v="Printer Paper"/>
    <s v="Priya"/>
    <s v="Corporate"/>
    <n v="5"/>
    <n v="19068"/>
    <n v="0"/>
    <n v="95340"/>
    <n v="4982.71"/>
  </r>
  <r>
    <s v="ORD00562"/>
    <s v="2025-08-15"/>
    <x v="8"/>
    <x v="2"/>
    <s v="Chandigarh"/>
    <s v="Chandigarh"/>
    <x v="0"/>
    <s v="Desk"/>
    <s v="Desk"/>
    <s v="Meena"/>
    <s v="Retail"/>
    <n v="2"/>
    <n v="28995"/>
    <n v="0"/>
    <n v="57990"/>
    <n v="11194.76"/>
  </r>
  <r>
    <s v="ORD00563"/>
    <s v="2025-05-10"/>
    <x v="6"/>
    <x v="1"/>
    <s v="Tamil Nadu"/>
    <s v="Chennai"/>
    <x v="0"/>
    <s v="Sofa"/>
    <s v="Sofa"/>
    <s v="John"/>
    <s v="Retail"/>
    <n v="10"/>
    <n v="10339"/>
    <n v="15"/>
    <n v="87881.5"/>
    <n v="9822.7199999999993"/>
  </r>
  <r>
    <s v="ORD00564"/>
    <s v="2025-11-02"/>
    <x v="7"/>
    <x v="2"/>
    <s v="Delhi"/>
    <s v="Delhi"/>
    <x v="2"/>
    <s v="Pen"/>
    <s v="Pen"/>
    <s v="Priya"/>
    <s v="Retail"/>
    <n v="1"/>
    <n v="26207"/>
    <n v="15"/>
    <n v="22275.95"/>
    <n v="6664.5"/>
  </r>
  <r>
    <s v="ORD00565"/>
    <s v="2025-09-07"/>
    <x v="10"/>
    <x v="0"/>
    <s v="Odisha"/>
    <s v="Bhubaneswar"/>
    <x v="2"/>
    <s v="Pen"/>
    <s v="Pen"/>
    <s v="Vicky"/>
    <s v="Retail"/>
    <n v="2"/>
    <n v="32371"/>
    <n v="20"/>
    <n v="51793.599999999999"/>
    <n v="6402.77"/>
  </r>
  <r>
    <s v="ORD00566"/>
    <s v="2025-03-01"/>
    <x v="0"/>
    <x v="1"/>
    <s v="Tamil Nadu"/>
    <s v="Chennai"/>
    <x v="0"/>
    <s v="Desk"/>
    <s v="Desk"/>
    <s v="Priya"/>
    <s v="Corporate"/>
    <n v="6"/>
    <n v="16503"/>
    <n v="20"/>
    <n v="79214.399999999994"/>
    <n v="9273.74"/>
  </r>
  <r>
    <s v="ORD00567"/>
    <s v="2026-06-18"/>
    <x v="1"/>
    <x v="2"/>
    <s v="Chandigarh"/>
    <s v="Chandigarh"/>
    <x v="1"/>
    <s v="Laptop"/>
    <s v="Laptop"/>
    <s v="Vicky"/>
    <s v="Retail"/>
    <n v="7"/>
    <n v="27178"/>
    <n v="0"/>
    <n v="190246"/>
    <n v="24619.18"/>
  </r>
  <r>
    <s v="ORD00568"/>
    <s v="2025-05-12"/>
    <x v="6"/>
    <x v="2"/>
    <s v="Chandigarh"/>
    <s v="Chandigarh"/>
    <x v="1"/>
    <s v="Laptop"/>
    <s v="Laptop"/>
    <s v="Amit"/>
    <s v="Corporate"/>
    <n v="3"/>
    <n v="23420"/>
    <n v="15"/>
    <n v="59721"/>
    <n v="13730.62"/>
  </r>
  <r>
    <s v="ORD00569"/>
    <s v="2025-04-04"/>
    <x v="2"/>
    <x v="1"/>
    <s v="Tamil Nadu"/>
    <s v="Chennai"/>
    <x v="1"/>
    <s v="Mobile"/>
    <s v="Mobile"/>
    <s v="Meena"/>
    <s v="Retail"/>
    <n v="8"/>
    <n v="41470"/>
    <n v="5"/>
    <n v="315172"/>
    <n v="71374.850000000006"/>
  </r>
  <r>
    <s v="ORD00570"/>
    <s v="2025-11-28"/>
    <x v="7"/>
    <x v="1"/>
    <s v="Tamil Nadu"/>
    <s v="Chennai"/>
    <x v="1"/>
    <s v="Keyboard"/>
    <s v="Keyboard"/>
    <s v="Arun"/>
    <s v="Retail"/>
    <n v="9"/>
    <n v="25707"/>
    <n v="0"/>
    <n v="231363"/>
    <n v="26209.34"/>
  </r>
  <r>
    <s v="ORD00571"/>
    <s v="2026-06-06"/>
    <x v="1"/>
    <x v="1"/>
    <s v="Tamil Nadu"/>
    <s v="Chennai"/>
    <x v="1"/>
    <s v="Mobile"/>
    <s v="Mobile"/>
    <s v="Rahul"/>
    <s v="Corporate"/>
    <n v="8"/>
    <n v="20531"/>
    <n v="10"/>
    <n v="147823.20000000001"/>
    <n v="13000.73"/>
  </r>
  <r>
    <s v="ORD00572"/>
    <s v="2025-02-19"/>
    <x v="9"/>
    <x v="3"/>
    <s v="Gujarat"/>
    <s v="Ahmedabad"/>
    <x v="1"/>
    <s v="Laptop"/>
    <s v="Laptop"/>
    <s v="Vicky"/>
    <s v="Corporate"/>
    <n v="4"/>
    <n v="11893"/>
    <n v="20"/>
    <n v="38057.599999999999"/>
    <n v="3541.95"/>
  </r>
  <r>
    <s v="ORD00573"/>
    <s v="2025-09-14"/>
    <x v="10"/>
    <x v="3"/>
    <s v="Gujarat"/>
    <s v="Ahmedabad"/>
    <x v="1"/>
    <s v="Monitor"/>
    <s v="Monitor"/>
    <s v="Sneha"/>
    <s v="Retail"/>
    <n v="4"/>
    <n v="34214"/>
    <n v="5"/>
    <n v="130013.2"/>
    <n v="20959.599999999999"/>
  </r>
  <r>
    <s v="ORD00574"/>
    <s v="2026-06-10"/>
    <x v="1"/>
    <x v="3"/>
    <s v="Gujarat"/>
    <s v="Ahmedabad"/>
    <x v="2"/>
    <s v="Notebook"/>
    <s v="Notebook"/>
    <s v="John"/>
    <s v="Corporate"/>
    <n v="4"/>
    <n v="30319"/>
    <n v="5"/>
    <n v="115212.2"/>
    <n v="23285.91"/>
  </r>
  <r>
    <s v="ORD00575"/>
    <s v="2025-10-17"/>
    <x v="11"/>
    <x v="1"/>
    <s v="Tamil Nadu"/>
    <s v="Chennai"/>
    <x v="2"/>
    <s v="Stapler"/>
    <s v="Stapler"/>
    <s v="Vicky"/>
    <s v="Retail"/>
    <n v="2"/>
    <n v="48205"/>
    <n v="20"/>
    <n v="77128"/>
    <n v="12188.76"/>
  </r>
  <r>
    <s v="ORD00576"/>
    <s v="2025-05-06"/>
    <x v="6"/>
    <x v="0"/>
    <s v="West Bengal"/>
    <s v="Kolkata"/>
    <x v="1"/>
    <s v="Monitor"/>
    <s v="Monitor"/>
    <s v="Rahul"/>
    <s v="Corporate"/>
    <n v="5"/>
    <n v="12088"/>
    <n v="15"/>
    <n v="51374"/>
    <n v="4460.21"/>
  </r>
  <r>
    <s v="ORD00577"/>
    <s v="2025-01-16"/>
    <x v="4"/>
    <x v="1"/>
    <s v="Tamil Nadu"/>
    <s v="Chennai"/>
    <x v="1"/>
    <s v="Monitor"/>
    <s v="Monitor"/>
    <s v="Priya"/>
    <s v="Retail"/>
    <n v="2"/>
    <n v="13277"/>
    <n v="10"/>
    <n v="23898.6"/>
    <n v="4587.53"/>
  </r>
  <r>
    <s v="ORD00578"/>
    <s v="2025-09-17"/>
    <x v="10"/>
    <x v="1"/>
    <s v="Karnataka"/>
    <s v="Bengaluru"/>
    <x v="0"/>
    <s v="Sofa"/>
    <s v="Sofa"/>
    <s v="John"/>
    <s v="Retail"/>
    <n v="9"/>
    <n v="49735"/>
    <n v="5"/>
    <n v="425234.25"/>
    <n v="62413.99"/>
  </r>
  <r>
    <s v="ORD00579"/>
    <s v="2026-05-11"/>
    <x v="6"/>
    <x v="2"/>
    <s v="Chandigarh"/>
    <s v="Chandigarh"/>
    <x v="1"/>
    <s v="Keyboard"/>
    <s v="Keyboard"/>
    <s v="Priya"/>
    <s v="Retail"/>
    <n v="8"/>
    <n v="45458"/>
    <n v="5"/>
    <n v="345480.8"/>
    <n v="27904.19"/>
  </r>
  <r>
    <s v="ORD00580"/>
    <s v="2026-02-05"/>
    <x v="9"/>
    <x v="3"/>
    <s v="Maharashtra"/>
    <s v="Mumbai"/>
    <x v="2"/>
    <s v="Stapler"/>
    <s v="Stapler"/>
    <s v="Vicky"/>
    <s v="Corporate"/>
    <n v="2"/>
    <n v="12563"/>
    <n v="5"/>
    <n v="23869.7"/>
    <n v="1809.4"/>
  </r>
  <r>
    <s v="ORD00581"/>
    <s v="2026-05-14"/>
    <x v="6"/>
    <x v="2"/>
    <s v="Chandigarh"/>
    <s v="Chandigarh"/>
    <x v="0"/>
    <s v="Chair"/>
    <s v="Chair"/>
    <s v="John"/>
    <s v="Retail"/>
    <n v="3"/>
    <n v="19645"/>
    <n v="0"/>
    <n v="58935"/>
    <n v="5859.72"/>
  </r>
  <r>
    <s v="ORD00582"/>
    <s v="2025-04-09"/>
    <x v="2"/>
    <x v="2"/>
    <s v="Chandigarh"/>
    <s v="Chandigarh"/>
    <x v="0"/>
    <s v="Chair"/>
    <s v="Chair"/>
    <s v="Meena"/>
    <s v="Retail"/>
    <n v="2"/>
    <n v="48084"/>
    <n v="5"/>
    <n v="91359.6"/>
    <n v="25570.5"/>
  </r>
  <r>
    <s v="ORD00583"/>
    <s v="2025-10-29"/>
    <x v="11"/>
    <x v="1"/>
    <s v="Karnataka"/>
    <s v="Bengaluru"/>
    <x v="0"/>
    <s v="Sofa"/>
    <s v="Sofa"/>
    <s v="Sneha"/>
    <s v="Retail"/>
    <n v="3"/>
    <n v="48842"/>
    <n v="15"/>
    <n v="124547.1"/>
    <n v="26131.64"/>
  </r>
  <r>
    <s v="ORD00584"/>
    <s v="2026-02-07"/>
    <x v="9"/>
    <x v="3"/>
    <s v="Gujarat"/>
    <s v="Ahmedabad"/>
    <x v="2"/>
    <s v="Notebook"/>
    <s v="Notebook"/>
    <s v="John"/>
    <s v="Retail"/>
    <n v="9"/>
    <n v="26027"/>
    <n v="0"/>
    <n v="234243"/>
    <n v="36359.69"/>
  </r>
  <r>
    <s v="ORD00585"/>
    <s v="2025-01-07"/>
    <x v="4"/>
    <x v="3"/>
    <s v="Maharashtra"/>
    <s v="Mumbai"/>
    <x v="1"/>
    <s v="Keyboard"/>
    <s v="Keyboard"/>
    <s v="John"/>
    <s v="Retail"/>
    <n v="2"/>
    <n v="36710"/>
    <n v="0"/>
    <n v="73420"/>
    <n v="5670.7"/>
  </r>
  <r>
    <s v="ORD00586"/>
    <s v="2026-01-19"/>
    <x v="4"/>
    <x v="3"/>
    <s v="Maharashtra"/>
    <s v="Mumbai"/>
    <x v="0"/>
    <s v="Chair"/>
    <s v="Chair"/>
    <s v="Arun"/>
    <s v="Corporate"/>
    <n v="8"/>
    <n v="38949"/>
    <n v="0"/>
    <n v="311592"/>
    <n v="86143.59"/>
  </r>
  <r>
    <s v="ORD00587"/>
    <s v="2026-03-09"/>
    <x v="0"/>
    <x v="1"/>
    <s v="Karnataka"/>
    <s v="Bengaluru"/>
    <x v="2"/>
    <s v="Printer Paper"/>
    <s v="Printer Paper"/>
    <s v="Rahul"/>
    <s v="Corporate"/>
    <n v="4"/>
    <n v="30943"/>
    <n v="15"/>
    <n v="105206.2"/>
    <n v="7402"/>
  </r>
  <r>
    <s v="ORD00588"/>
    <s v="2025-03-18"/>
    <x v="0"/>
    <x v="0"/>
    <s v="Odisha"/>
    <s v="Bhubaneswar"/>
    <x v="0"/>
    <s v="Desk"/>
    <s v="Desk"/>
    <s v="Meena"/>
    <s v="Corporate"/>
    <n v="10"/>
    <n v="15884"/>
    <n v="5"/>
    <n v="150898"/>
    <n v="34485.21"/>
  </r>
  <r>
    <s v="ORD00589"/>
    <s v="2025-12-16"/>
    <x v="3"/>
    <x v="1"/>
    <s v="Karnataka"/>
    <s v="Bengaluru"/>
    <x v="1"/>
    <s v="Monitor"/>
    <s v="Monitor"/>
    <s v="Priya"/>
    <s v="Corporate"/>
    <n v="3"/>
    <n v="7025"/>
    <n v="0"/>
    <n v="21075"/>
    <n v="3617.58"/>
  </r>
  <r>
    <s v="ORD00590"/>
    <s v="2026-01-24"/>
    <x v="4"/>
    <x v="1"/>
    <s v="Tamil Nadu"/>
    <s v="Chennai"/>
    <x v="2"/>
    <s v="Stapler"/>
    <s v="Stapler"/>
    <s v="Amit"/>
    <s v="Retail"/>
    <n v="2"/>
    <n v="22521"/>
    <n v="10"/>
    <n v="40537.800000000003"/>
    <n v="6207.16"/>
  </r>
  <r>
    <s v="ORD00591"/>
    <s v="2026-06-17"/>
    <x v="1"/>
    <x v="3"/>
    <s v="Maharashtra"/>
    <s v="Mumbai"/>
    <x v="1"/>
    <s v="Keyboard"/>
    <s v="Keyboard"/>
    <s v="Amit"/>
    <s v="Corporate"/>
    <n v="6"/>
    <n v="1339"/>
    <n v="0"/>
    <n v="8034"/>
    <n v="1015.6"/>
  </r>
  <r>
    <s v="ORD00592"/>
    <s v="2026-03-15"/>
    <x v="0"/>
    <x v="2"/>
    <s v="Chandigarh"/>
    <s v="Chandigarh"/>
    <x v="2"/>
    <s v="Pen"/>
    <s v="Pen"/>
    <s v="Priya"/>
    <s v="Corporate"/>
    <n v="7"/>
    <n v="7790"/>
    <n v="0"/>
    <n v="54530"/>
    <n v="9190.26"/>
  </r>
  <r>
    <s v="ORD00593"/>
    <s v="2025-11-23"/>
    <x v="7"/>
    <x v="1"/>
    <s v="Tamil Nadu"/>
    <s v="Chennai"/>
    <x v="0"/>
    <s v="Chair"/>
    <s v="Chair"/>
    <s v="Vicky"/>
    <s v="Retail"/>
    <n v="5"/>
    <n v="9577"/>
    <n v="10"/>
    <n v="43096.5"/>
    <n v="7191.39"/>
  </r>
  <r>
    <s v="ORD00594"/>
    <s v="2025-05-28"/>
    <x v="6"/>
    <x v="1"/>
    <s v="Karnataka"/>
    <s v="Bengaluru"/>
    <x v="1"/>
    <s v="Monitor"/>
    <s v="Monitor"/>
    <s v="Meena"/>
    <s v="Retail"/>
    <n v="3"/>
    <n v="42699"/>
    <n v="5"/>
    <n v="121692.15"/>
    <n v="25548.71"/>
  </r>
  <r>
    <s v="ORD00595"/>
    <s v="2025-04-08"/>
    <x v="2"/>
    <x v="3"/>
    <s v="Gujarat"/>
    <s v="Ahmedabad"/>
    <x v="2"/>
    <s v="Notebook"/>
    <s v="Notebook"/>
    <s v="Arun"/>
    <s v="Retail"/>
    <n v="7"/>
    <n v="41315"/>
    <n v="5"/>
    <n v="274744.75"/>
    <n v="24343.66"/>
  </r>
  <r>
    <s v="ORD00596"/>
    <s v="2025-12-12"/>
    <x v="3"/>
    <x v="0"/>
    <s v="Odisha"/>
    <s v="Bhubaneswar"/>
    <x v="0"/>
    <s v="Chair"/>
    <s v="Chair"/>
    <s v="Sneha"/>
    <s v="Retail"/>
    <n v="7"/>
    <n v="27299"/>
    <n v="15"/>
    <n v="162429.04999999999"/>
    <n v="30553.18"/>
  </r>
  <r>
    <s v="ORD00597"/>
    <s v="2025-06-06"/>
    <x v="1"/>
    <x v="3"/>
    <s v="Gujarat"/>
    <s v="Ahmedabad"/>
    <x v="2"/>
    <s v="Notebook"/>
    <s v="Notebook"/>
    <s v="Sneha"/>
    <s v="Corporate"/>
    <n v="7"/>
    <n v="6567"/>
    <n v="15"/>
    <n v="39073.65"/>
    <n v="6178.19"/>
  </r>
  <r>
    <s v="ORD00598"/>
    <s v="2026-06-18"/>
    <x v="1"/>
    <x v="3"/>
    <s v="Maharashtra"/>
    <s v="Mumbai"/>
    <x v="2"/>
    <s v="Pen"/>
    <s v="Pen"/>
    <s v="Meena"/>
    <s v="Corporate"/>
    <n v="4"/>
    <n v="15915"/>
    <n v="5"/>
    <n v="60477"/>
    <n v="7064.25"/>
  </r>
  <r>
    <s v="ORD00599"/>
    <s v="2025-02-27"/>
    <x v="9"/>
    <x v="2"/>
    <s v="Chandigarh"/>
    <s v="Chandigarh"/>
    <x v="0"/>
    <s v="Sofa"/>
    <s v="Sofa"/>
    <s v="Rahul"/>
    <s v="Retail"/>
    <n v="6"/>
    <n v="40010"/>
    <n v="15"/>
    <n v="204051"/>
    <n v="27524.35"/>
  </r>
  <r>
    <s v="ORD00600"/>
    <s v="2026-02-11"/>
    <x v="9"/>
    <x v="0"/>
    <s v="Odisha"/>
    <s v="Bhubaneswar"/>
    <x v="1"/>
    <s v="Laptop"/>
    <s v="Laptop"/>
    <s v="Vicky"/>
    <s v="Corporate"/>
    <n v="2"/>
    <n v="13335"/>
    <n v="20"/>
    <n v="21336"/>
    <n v="1411.57"/>
  </r>
  <r>
    <s v="ORD00601"/>
    <s v="2025-04-27"/>
    <x v="2"/>
    <x v="3"/>
    <s v="Gujarat"/>
    <s v="Ahmedabad"/>
    <x v="0"/>
    <s v="Desk"/>
    <s v="Desk"/>
    <s v="Sneha"/>
    <s v="Corporate"/>
    <n v="6"/>
    <n v="33913"/>
    <n v="10"/>
    <n v="183130.2"/>
    <n v="10708.56"/>
  </r>
  <r>
    <s v="ORD00602"/>
    <s v="2025-08-18"/>
    <x v="8"/>
    <x v="1"/>
    <s v="Karnataka"/>
    <s v="Bengaluru"/>
    <x v="1"/>
    <s v="Keyboard"/>
    <s v="Keyboard"/>
    <s v="Sneha"/>
    <s v="Corporate"/>
    <n v="6"/>
    <n v="4730"/>
    <n v="15"/>
    <n v="24123"/>
    <n v="3421.25"/>
  </r>
  <r>
    <s v="ORD00603"/>
    <s v="2025-01-06"/>
    <x v="4"/>
    <x v="3"/>
    <s v="Maharashtra"/>
    <s v="Mumbai"/>
    <x v="0"/>
    <s v="Desk"/>
    <s v="Desk"/>
    <s v="John"/>
    <s v="Corporate"/>
    <n v="7"/>
    <n v="20682"/>
    <n v="10"/>
    <n v="130296.6"/>
    <n v="8148.79"/>
  </r>
  <r>
    <s v="ORD00604"/>
    <s v="2025-02-21"/>
    <x v="9"/>
    <x v="1"/>
    <s v="Tamil Nadu"/>
    <s v="Chennai"/>
    <x v="0"/>
    <s v="Sofa"/>
    <s v="Sofa"/>
    <s v="John"/>
    <s v="Corporate"/>
    <n v="9"/>
    <n v="42445"/>
    <n v="5"/>
    <n v="362904.75"/>
    <n v="93348.59"/>
  </r>
  <r>
    <s v="ORD00605"/>
    <s v="2026-04-27"/>
    <x v="2"/>
    <x v="3"/>
    <s v="Gujarat"/>
    <s v="Ahmedabad"/>
    <x v="2"/>
    <s v="Notebook"/>
    <s v="Notebook"/>
    <s v="Vicky"/>
    <s v="Corporate"/>
    <n v="10"/>
    <n v="47566"/>
    <n v="15"/>
    <n v="404311"/>
    <n v="110809.81"/>
  </r>
  <r>
    <s v="ORD00606"/>
    <s v="2026-03-08"/>
    <x v="0"/>
    <x v="3"/>
    <s v="Gujarat"/>
    <s v="Ahmedabad"/>
    <x v="2"/>
    <s v="Notebook"/>
    <s v="Notebook"/>
    <s v="Arun"/>
    <s v="Corporate"/>
    <n v="8"/>
    <n v="25190"/>
    <n v="0"/>
    <n v="201520"/>
    <n v="48313.41"/>
  </r>
  <r>
    <s v="ORD00607"/>
    <s v="2026-05-22"/>
    <x v="6"/>
    <x v="1"/>
    <s v="Karnataka"/>
    <s v="Bengaluru"/>
    <x v="2"/>
    <s v="Printer Paper"/>
    <s v="Printer Paper"/>
    <s v="Meena"/>
    <s v="Corporate"/>
    <n v="5"/>
    <n v="27232"/>
    <n v="10"/>
    <n v="122544"/>
    <n v="16679.21"/>
  </r>
  <r>
    <s v="ORD00608"/>
    <s v="2025-04-25"/>
    <x v="2"/>
    <x v="3"/>
    <s v="Gujarat"/>
    <s v="Ahmedabad"/>
    <x v="1"/>
    <s v="Laptop"/>
    <s v="Laptop"/>
    <s v="Sneha"/>
    <s v="Retail"/>
    <n v="3"/>
    <n v="26250"/>
    <n v="0"/>
    <n v="78750"/>
    <n v="5751.97"/>
  </r>
  <r>
    <s v="ORD00609"/>
    <s v="2026-02-04"/>
    <x v="9"/>
    <x v="3"/>
    <s v="Maharashtra"/>
    <s v="Mumbai"/>
    <x v="0"/>
    <s v="Sofa"/>
    <s v="Sofa"/>
    <s v="Vicky"/>
    <s v="Retail"/>
    <n v="10"/>
    <n v="6906"/>
    <n v="5"/>
    <n v="65607"/>
    <n v="11866.76"/>
  </r>
  <r>
    <s v="ORD00610"/>
    <s v="2026-01-15"/>
    <x v="4"/>
    <x v="2"/>
    <s v="Delhi"/>
    <s v="Delhi"/>
    <x v="0"/>
    <s v="Desk"/>
    <s v="Desk"/>
    <s v="Meena"/>
    <s v="Retail"/>
    <n v="3"/>
    <n v="5125"/>
    <n v="20"/>
    <n v="12300"/>
    <n v="2957.75"/>
  </r>
  <r>
    <s v="ORD00611"/>
    <s v="2025-10-11"/>
    <x v="11"/>
    <x v="1"/>
    <s v="Tamil Nadu"/>
    <s v="Chennai"/>
    <x v="2"/>
    <s v="Stapler"/>
    <s v="Stapler"/>
    <s v="Arun"/>
    <s v="Corporate"/>
    <n v="8"/>
    <n v="39605"/>
    <n v="15"/>
    <n v="269314"/>
    <n v="61960.11"/>
  </r>
  <r>
    <s v="ORD00612"/>
    <s v="2025-08-18"/>
    <x v="8"/>
    <x v="3"/>
    <s v="Gujarat"/>
    <s v="Ahmedabad"/>
    <x v="0"/>
    <s v="Desk"/>
    <s v="Desk"/>
    <s v="Sneha"/>
    <s v="Retail"/>
    <n v="4"/>
    <n v="5254"/>
    <n v="5"/>
    <n v="19965.2"/>
    <n v="2092.73"/>
  </r>
  <r>
    <s v="ORD00613"/>
    <s v="2025-02-20"/>
    <x v="9"/>
    <x v="2"/>
    <s v="Delhi"/>
    <s v="Delhi"/>
    <x v="0"/>
    <s v="Desk"/>
    <s v="Desk"/>
    <s v="Vicky"/>
    <s v="Retail"/>
    <n v="9"/>
    <n v="23593"/>
    <n v="0"/>
    <n v="212337"/>
    <n v="13634.21"/>
  </r>
  <r>
    <s v="ORD00614"/>
    <s v="2025-04-06"/>
    <x v="2"/>
    <x v="2"/>
    <s v="Delhi"/>
    <s v="Delhi"/>
    <x v="2"/>
    <s v="Pen"/>
    <s v="Pen"/>
    <s v="Vicky"/>
    <s v="Corporate"/>
    <n v="4"/>
    <n v="4953"/>
    <n v="0"/>
    <n v="19812"/>
    <n v="2094.96"/>
  </r>
  <r>
    <s v="ORD00615"/>
    <s v="2025-04-12"/>
    <x v="2"/>
    <x v="0"/>
    <s v="West Bengal"/>
    <s v="Kolkata"/>
    <x v="2"/>
    <s v="Printer Paper"/>
    <s v="Printer Paper"/>
    <s v="Amit"/>
    <s v="Corporate"/>
    <n v="3"/>
    <n v="24461"/>
    <n v="10"/>
    <n v="66044.7"/>
    <n v="9215.66"/>
  </r>
  <r>
    <s v="ORD00616"/>
    <s v="2026-06-16"/>
    <x v="1"/>
    <x v="1"/>
    <s v="Karnataka"/>
    <s v="Bengaluru"/>
    <x v="1"/>
    <s v="Laptop"/>
    <s v="Laptop"/>
    <s v="John"/>
    <s v="Corporate"/>
    <n v="9"/>
    <n v="12662"/>
    <n v="20"/>
    <n v="91166.399999999994"/>
    <n v="22756.14"/>
  </r>
  <r>
    <s v="ORD00617"/>
    <s v="2026-03-28"/>
    <x v="0"/>
    <x v="3"/>
    <s v="Gujarat"/>
    <s v="Ahmedabad"/>
    <x v="2"/>
    <s v="Stapler"/>
    <s v="Stapler"/>
    <s v="Priya"/>
    <s v="Corporate"/>
    <n v="7"/>
    <n v="21771"/>
    <n v="0"/>
    <n v="152397"/>
    <n v="27048.13"/>
  </r>
  <r>
    <s v="ORD00618"/>
    <s v="2025-03-15"/>
    <x v="0"/>
    <x v="2"/>
    <s v="Delhi"/>
    <s v="Delhi"/>
    <x v="1"/>
    <s v="Monitor"/>
    <s v="Monitor"/>
    <s v="Sneha"/>
    <s v="Corporate"/>
    <n v="4"/>
    <n v="4699"/>
    <n v="10"/>
    <n v="16916.400000000001"/>
    <n v="2436.17"/>
  </r>
  <r>
    <s v="ORD00619"/>
    <s v="2026-02-19"/>
    <x v="9"/>
    <x v="1"/>
    <s v="Tamil Nadu"/>
    <s v="Chennai"/>
    <x v="0"/>
    <s v="Sofa"/>
    <s v="Sofa"/>
    <s v="John"/>
    <s v="Retail"/>
    <n v="9"/>
    <n v="17328"/>
    <n v="0"/>
    <n v="155952"/>
    <n v="21840.2"/>
  </r>
  <r>
    <s v="ORD00620"/>
    <s v="2025-05-21"/>
    <x v="6"/>
    <x v="3"/>
    <s v="Gujarat"/>
    <s v="Ahmedabad"/>
    <x v="0"/>
    <s v="Sofa"/>
    <s v="Sofa"/>
    <s v="Amit"/>
    <s v="Retail"/>
    <n v="8"/>
    <n v="18484"/>
    <n v="20"/>
    <n v="118297.60000000001"/>
    <n v="18687.04"/>
  </r>
  <r>
    <s v="ORD00621"/>
    <s v="2026-01-20"/>
    <x v="4"/>
    <x v="2"/>
    <s v="Chandigarh"/>
    <s v="Chandigarh"/>
    <x v="1"/>
    <s v="Mobile"/>
    <s v="Mobile"/>
    <s v="Arun"/>
    <s v="Corporate"/>
    <n v="5"/>
    <n v="19550"/>
    <n v="20"/>
    <n v="78200"/>
    <n v="4156.37"/>
  </r>
  <r>
    <s v="ORD00622"/>
    <s v="2026-05-09"/>
    <x v="6"/>
    <x v="0"/>
    <s v="Odisha"/>
    <s v="Bhubaneswar"/>
    <x v="0"/>
    <s v="Table"/>
    <s v="Table"/>
    <s v="Meena"/>
    <s v="Retail"/>
    <n v="2"/>
    <n v="29337"/>
    <n v="10"/>
    <n v="52806.6"/>
    <n v="14301.59"/>
  </r>
  <r>
    <s v="ORD00623"/>
    <s v="2025-03-18"/>
    <x v="0"/>
    <x v="3"/>
    <s v="Gujarat"/>
    <s v="Ahmedabad"/>
    <x v="2"/>
    <s v="Stapler"/>
    <s v="Stapler"/>
    <s v="Arun"/>
    <s v="Retail"/>
    <n v="3"/>
    <n v="45483"/>
    <n v="10"/>
    <n v="122804.1"/>
    <n v="21476.22"/>
  </r>
  <r>
    <s v="ORD00624"/>
    <s v="2025-09-24"/>
    <x v="10"/>
    <x v="3"/>
    <s v="Maharashtra"/>
    <s v="Mumbai"/>
    <x v="1"/>
    <s v="Keyboard"/>
    <s v="Keyboard"/>
    <s v="Rahul"/>
    <s v="Retail"/>
    <n v="6"/>
    <n v="8351"/>
    <n v="20"/>
    <n v="40084.800000000003"/>
    <n v="3723.14"/>
  </r>
  <r>
    <s v="ORD00625"/>
    <s v="2026-01-02"/>
    <x v="4"/>
    <x v="3"/>
    <s v="Gujarat"/>
    <s v="Ahmedabad"/>
    <x v="1"/>
    <s v="Keyboard"/>
    <s v="Keyboard"/>
    <s v="Sneha"/>
    <s v="Corporate"/>
    <n v="8"/>
    <n v="29913"/>
    <n v="10"/>
    <n v="215373.6"/>
    <n v="24150.98"/>
  </r>
  <r>
    <s v="ORD00626"/>
    <s v="2025-10-15"/>
    <x v="11"/>
    <x v="2"/>
    <s v="Chandigarh"/>
    <s v="Chandigarh"/>
    <x v="2"/>
    <s v="Pen"/>
    <s v="Pen"/>
    <s v="Vicky"/>
    <s v="Retail"/>
    <n v="9"/>
    <n v="46998"/>
    <n v="5"/>
    <n v="401832.9"/>
    <n v="23575.77"/>
  </r>
  <r>
    <s v="ORD00627"/>
    <s v="2025-11-27"/>
    <x v="7"/>
    <x v="3"/>
    <s v="Maharashtra"/>
    <s v="Mumbai"/>
    <x v="2"/>
    <s v="Stapler"/>
    <s v="Stapler"/>
    <s v="Priya"/>
    <s v="Retail"/>
    <n v="9"/>
    <n v="33481"/>
    <n v="20"/>
    <n v="241063.2"/>
    <n v="66783.06"/>
  </r>
  <r>
    <s v="ORD00628"/>
    <s v="2025-01-23"/>
    <x v="4"/>
    <x v="2"/>
    <s v="Chandigarh"/>
    <s v="Chandigarh"/>
    <x v="1"/>
    <s v="Mobile"/>
    <s v="Mobile"/>
    <s v="Meena"/>
    <s v="Retail"/>
    <n v="5"/>
    <n v="13876"/>
    <n v="5"/>
    <n v="65911"/>
    <n v="7065.2"/>
  </r>
  <r>
    <s v="ORD00629"/>
    <s v="2025-02-23"/>
    <x v="9"/>
    <x v="2"/>
    <s v="Delhi"/>
    <s v="Delhi"/>
    <x v="1"/>
    <s v="Monitor"/>
    <s v="Monitor"/>
    <s v="John"/>
    <s v="Corporate"/>
    <n v="2"/>
    <n v="7325"/>
    <n v="0"/>
    <n v="14650"/>
    <n v="3682.44"/>
  </r>
  <r>
    <s v="ORD00630"/>
    <s v="2026-04-22"/>
    <x v="2"/>
    <x v="3"/>
    <s v="Maharashtra"/>
    <s v="Mumbai"/>
    <x v="2"/>
    <s v="Notebook"/>
    <s v="Notebook"/>
    <s v="Priya"/>
    <s v="Retail"/>
    <n v="6"/>
    <n v="5105"/>
    <n v="5"/>
    <n v="29098.5"/>
    <n v="6813.29"/>
  </r>
  <r>
    <s v="ORD00631"/>
    <s v="2025-03-28"/>
    <x v="0"/>
    <x v="3"/>
    <s v="Gujarat"/>
    <s v="Ahmedabad"/>
    <x v="1"/>
    <s v="Keyboard"/>
    <s v="Keyboard"/>
    <s v="Meena"/>
    <s v="Corporate"/>
    <n v="4"/>
    <n v="1045"/>
    <n v="5"/>
    <n v="3971"/>
    <n v="503.59"/>
  </r>
  <r>
    <s v="ORD00632"/>
    <s v="2025-12-23"/>
    <x v="3"/>
    <x v="2"/>
    <s v="Chandigarh"/>
    <s v="Chandigarh"/>
    <x v="2"/>
    <s v="Notebook"/>
    <s v="Notebook"/>
    <s v="Arun"/>
    <s v="Corporate"/>
    <n v="4"/>
    <n v="34876"/>
    <n v="20"/>
    <n v="111603.2"/>
    <n v="5711.1"/>
  </r>
  <r>
    <s v="ORD00633"/>
    <s v="2026-04-08"/>
    <x v="2"/>
    <x v="2"/>
    <s v="Delhi"/>
    <s v="Delhi"/>
    <x v="2"/>
    <s v="Printer Paper"/>
    <s v="Printer Paper"/>
    <s v="Rahul"/>
    <s v="Retail"/>
    <n v="7"/>
    <n v="30208"/>
    <n v="0"/>
    <n v="211456"/>
    <n v="33601.75"/>
  </r>
  <r>
    <s v="ORD00634"/>
    <s v="2025-07-04"/>
    <x v="5"/>
    <x v="2"/>
    <s v="Delhi"/>
    <s v="Delhi"/>
    <x v="0"/>
    <s v="Sofa"/>
    <s v="Sofa"/>
    <s v="Arun"/>
    <s v="Retail"/>
    <n v="8"/>
    <n v="45359"/>
    <n v="15"/>
    <n v="308441.2"/>
    <n v="82774.149999999994"/>
  </r>
  <r>
    <s v="ORD00635"/>
    <s v="2026-05-20"/>
    <x v="6"/>
    <x v="0"/>
    <s v="West Bengal"/>
    <s v="Kolkata"/>
    <x v="2"/>
    <s v="Stapler"/>
    <s v="Stapler"/>
    <s v="John"/>
    <s v="Retail"/>
    <n v="8"/>
    <n v="35682"/>
    <n v="15"/>
    <n v="242637.6"/>
    <n v="56950.95"/>
  </r>
  <r>
    <s v="ORD00636"/>
    <s v="2026-05-30"/>
    <x v="6"/>
    <x v="3"/>
    <s v="Gujarat"/>
    <s v="Ahmedabad"/>
    <x v="2"/>
    <s v="Printer Paper"/>
    <s v="Printer Paper"/>
    <s v="Sneha"/>
    <s v="Retail"/>
    <n v="9"/>
    <n v="39052"/>
    <n v="10"/>
    <n v="316321.2"/>
    <n v="38324.93"/>
  </r>
  <r>
    <s v="ORD00637"/>
    <s v="2026-03-29"/>
    <x v="0"/>
    <x v="3"/>
    <s v="Gujarat"/>
    <s v="Ahmedabad"/>
    <x v="2"/>
    <s v="Pen"/>
    <s v="Pen"/>
    <s v="Meena"/>
    <s v="Corporate"/>
    <n v="1"/>
    <n v="5322"/>
    <n v="0"/>
    <n v="5322"/>
    <n v="1115.58"/>
  </r>
  <r>
    <s v="ORD00638"/>
    <s v="2025-09-29"/>
    <x v="10"/>
    <x v="1"/>
    <s v="Tamil Nadu"/>
    <s v="Chennai"/>
    <x v="0"/>
    <s v="Chair"/>
    <s v="Chair"/>
    <s v="Amit"/>
    <s v="Retail"/>
    <n v="2"/>
    <n v="31360"/>
    <n v="10"/>
    <n v="56448"/>
    <n v="5358.44"/>
  </r>
  <r>
    <s v="ORD00639"/>
    <s v="2025-07-30"/>
    <x v="5"/>
    <x v="3"/>
    <s v="Gujarat"/>
    <s v="Ahmedabad"/>
    <x v="1"/>
    <s v="Keyboard"/>
    <s v="Keyboard"/>
    <s v="Priya"/>
    <s v="Corporate"/>
    <n v="6"/>
    <n v="33360"/>
    <n v="0"/>
    <n v="200160"/>
    <n v="49200.959999999999"/>
  </r>
  <r>
    <s v="ORD00640"/>
    <s v="2025-01-01"/>
    <x v="4"/>
    <x v="1"/>
    <s v="Karnataka"/>
    <s v="Bengaluru"/>
    <x v="2"/>
    <s v="Stapler"/>
    <s v="Stapler"/>
    <s v="Vicky"/>
    <s v="Corporate"/>
    <n v="2"/>
    <n v="14804"/>
    <n v="0"/>
    <n v="29608"/>
    <n v="4247.3"/>
  </r>
  <r>
    <s v="ORD00641"/>
    <s v="2025-09-09"/>
    <x v="10"/>
    <x v="0"/>
    <s v="West Bengal"/>
    <s v="Kolkata"/>
    <x v="2"/>
    <s v="Stapler"/>
    <s v="Stapler"/>
    <s v="Meena"/>
    <s v="Retail"/>
    <n v="10"/>
    <n v="16037"/>
    <n v="15"/>
    <n v="136314.5"/>
    <n v="11769.04"/>
  </r>
  <r>
    <s v="ORD00642"/>
    <s v="2026-01-09"/>
    <x v="4"/>
    <x v="1"/>
    <s v="Karnataka"/>
    <s v="Bengaluru"/>
    <x v="1"/>
    <s v="Laptop"/>
    <s v="Laptop"/>
    <s v="Meena"/>
    <s v="Retail"/>
    <n v="4"/>
    <n v="39632"/>
    <n v="15"/>
    <n v="134748.79999999999"/>
    <n v="7977.62"/>
  </r>
  <r>
    <s v="ORD00643"/>
    <s v="2025-07-11"/>
    <x v="5"/>
    <x v="2"/>
    <s v="Delhi"/>
    <s v="Delhi"/>
    <x v="2"/>
    <s v="Printer Paper"/>
    <s v="Printer Paper"/>
    <s v="Rahul"/>
    <s v="Retail"/>
    <n v="6"/>
    <n v="23399"/>
    <n v="5"/>
    <n v="133374.29999999999"/>
    <n v="8110.07"/>
  </r>
  <r>
    <s v="ORD00644"/>
    <s v="2025-11-21"/>
    <x v="7"/>
    <x v="0"/>
    <s v="Odisha"/>
    <s v="Bhubaneswar"/>
    <x v="2"/>
    <s v="Pen"/>
    <s v="Pen"/>
    <s v="John"/>
    <s v="Corporate"/>
    <n v="9"/>
    <n v="42628"/>
    <n v="20"/>
    <n v="306921.59999999998"/>
    <n v="46629.72"/>
  </r>
  <r>
    <s v="ORD00645"/>
    <s v="2025-02-13"/>
    <x v="9"/>
    <x v="1"/>
    <s v="Tamil Nadu"/>
    <s v="Chennai"/>
    <x v="2"/>
    <s v="Printer Paper"/>
    <s v="Printer Paper"/>
    <s v="Amit"/>
    <s v="Retail"/>
    <n v="3"/>
    <n v="2961"/>
    <n v="20"/>
    <n v="7106.4"/>
    <n v="1038.04"/>
  </r>
  <r>
    <s v="ORD00646"/>
    <s v="2026-06-14"/>
    <x v="1"/>
    <x v="3"/>
    <s v="Maharashtra"/>
    <s v="Mumbai"/>
    <x v="1"/>
    <s v="Monitor"/>
    <s v="Monitor"/>
    <s v="Meena"/>
    <s v="Corporate"/>
    <n v="1"/>
    <n v="42422"/>
    <n v="15"/>
    <n v="36058.699999999997"/>
    <n v="4326.84"/>
  </r>
  <r>
    <s v="ORD00647"/>
    <s v="2025-03-08"/>
    <x v="0"/>
    <x v="3"/>
    <s v="Gujarat"/>
    <s v="Ahmedabad"/>
    <x v="0"/>
    <s v="Table"/>
    <s v="Table"/>
    <s v="John"/>
    <s v="Retail"/>
    <n v="7"/>
    <n v="13822"/>
    <n v="15"/>
    <n v="82240.899999999994"/>
    <n v="10672.37"/>
  </r>
  <r>
    <s v="ORD00648"/>
    <s v="2026-04-22"/>
    <x v="2"/>
    <x v="3"/>
    <s v="Gujarat"/>
    <s v="Ahmedabad"/>
    <x v="2"/>
    <s v="Notebook"/>
    <s v="Notebook"/>
    <s v="Vicky"/>
    <s v="Retail"/>
    <n v="5"/>
    <n v="18959"/>
    <n v="0"/>
    <n v="94795"/>
    <n v="8011.29"/>
  </r>
  <r>
    <s v="ORD00649"/>
    <s v="2025-02-24"/>
    <x v="9"/>
    <x v="1"/>
    <s v="Tamil Nadu"/>
    <s v="Chennai"/>
    <x v="2"/>
    <s v="Stapler"/>
    <s v="Stapler"/>
    <s v="Priya"/>
    <s v="Corporate"/>
    <n v="1"/>
    <n v="17909"/>
    <n v="20"/>
    <n v="14327.2"/>
    <n v="2673.34"/>
  </r>
  <r>
    <s v="ORD00650"/>
    <s v="2026-04-03"/>
    <x v="2"/>
    <x v="0"/>
    <s v="Odisha"/>
    <s v="Bhubaneswar"/>
    <x v="2"/>
    <s v="Printer Paper"/>
    <s v="Printer Paper"/>
    <s v="Arun"/>
    <s v="Corporate"/>
    <n v="9"/>
    <n v="48316"/>
    <n v="0"/>
    <n v="434844"/>
    <n v="53895.56"/>
  </r>
  <r>
    <s v="ORD00651"/>
    <s v="2025-04-22"/>
    <x v="2"/>
    <x v="0"/>
    <s v="West Bengal"/>
    <s v="Kolkata"/>
    <x v="2"/>
    <s v="Pen"/>
    <s v="Pen"/>
    <s v="Vicky"/>
    <s v="Retail"/>
    <n v="6"/>
    <n v="9318"/>
    <n v="5"/>
    <n v="53112.6"/>
    <n v="4455.8"/>
  </r>
  <r>
    <s v="ORD00652"/>
    <s v="2025-02-24"/>
    <x v="9"/>
    <x v="1"/>
    <s v="Karnataka"/>
    <s v="Bengaluru"/>
    <x v="1"/>
    <s v="Monitor"/>
    <s v="Monitor"/>
    <s v="Priya"/>
    <s v="Corporate"/>
    <n v="9"/>
    <n v="7976"/>
    <n v="20"/>
    <n v="57427.199999999997"/>
    <n v="3837.99"/>
  </r>
  <r>
    <s v="ORD00653"/>
    <s v="2025-03-19"/>
    <x v="0"/>
    <x v="2"/>
    <s v="Delhi"/>
    <s v="Delhi"/>
    <x v="2"/>
    <s v="Pen"/>
    <s v="Pen"/>
    <s v="Sneha"/>
    <s v="Corporate"/>
    <n v="5"/>
    <n v="45430"/>
    <n v="20"/>
    <n v="181720"/>
    <n v="34997.230000000003"/>
  </r>
  <r>
    <s v="ORD00654"/>
    <s v="2026-05-15"/>
    <x v="6"/>
    <x v="0"/>
    <s v="West Bengal"/>
    <s v="Kolkata"/>
    <x v="1"/>
    <s v="Monitor"/>
    <s v="Monitor"/>
    <s v="Amit"/>
    <s v="Retail"/>
    <n v="4"/>
    <n v="36547"/>
    <n v="15"/>
    <n v="124259.8"/>
    <n v="28240.5"/>
  </r>
  <r>
    <s v="ORD00655"/>
    <s v="2025-05-31"/>
    <x v="6"/>
    <x v="2"/>
    <s v="Delhi"/>
    <s v="Delhi"/>
    <x v="0"/>
    <s v="Sofa"/>
    <s v="Sofa"/>
    <s v="Vicky"/>
    <s v="Retail"/>
    <n v="3"/>
    <n v="20034"/>
    <n v="5"/>
    <n v="57096.9"/>
    <n v="6391.78"/>
  </r>
  <r>
    <s v="ORD00656"/>
    <s v="2025-10-14"/>
    <x v="11"/>
    <x v="1"/>
    <s v="Tamil Nadu"/>
    <s v="Chennai"/>
    <x v="0"/>
    <s v="Sofa"/>
    <s v="Sofa"/>
    <s v="Amit"/>
    <s v="Corporate"/>
    <n v="4"/>
    <n v="4522"/>
    <n v="5"/>
    <n v="17183.599999999999"/>
    <n v="5056.8599999999997"/>
  </r>
  <r>
    <s v="ORD00657"/>
    <s v="2025-06-02"/>
    <x v="1"/>
    <x v="1"/>
    <s v="Tamil Nadu"/>
    <s v="Chennai"/>
    <x v="2"/>
    <s v="Notebook"/>
    <s v="Notebook"/>
    <s v="Amit"/>
    <s v="Corporate"/>
    <n v="6"/>
    <n v="1810"/>
    <n v="15"/>
    <n v="9231"/>
    <n v="2298.94"/>
  </r>
  <r>
    <s v="ORD00658"/>
    <s v="2025-09-13"/>
    <x v="10"/>
    <x v="1"/>
    <s v="Tamil Nadu"/>
    <s v="Chennai"/>
    <x v="2"/>
    <s v="Pen"/>
    <s v="Pen"/>
    <s v="Vicky"/>
    <s v="Corporate"/>
    <n v="3"/>
    <n v="29657"/>
    <n v="20"/>
    <n v="71176.800000000003"/>
    <n v="14809.52"/>
  </r>
  <r>
    <s v="ORD00659"/>
    <s v="2025-02-10"/>
    <x v="9"/>
    <x v="3"/>
    <s v="Gujarat"/>
    <s v="Ahmedabad"/>
    <x v="2"/>
    <s v="Printer Paper"/>
    <s v="Printer Paper"/>
    <s v="Amit"/>
    <s v="Retail"/>
    <n v="2"/>
    <n v="13691"/>
    <n v="0"/>
    <n v="27382"/>
    <n v="1986.87"/>
  </r>
  <r>
    <s v="ORD00660"/>
    <s v="2025-01-11"/>
    <x v="4"/>
    <x v="2"/>
    <s v="Chandigarh"/>
    <s v="Chandigarh"/>
    <x v="2"/>
    <s v="Printer Paper"/>
    <s v="Printer Paper"/>
    <s v="Amit"/>
    <s v="Retail"/>
    <n v="6"/>
    <n v="10777"/>
    <n v="5"/>
    <n v="61428.9"/>
    <n v="9100.84"/>
  </r>
  <r>
    <s v="ORD00661"/>
    <s v="2026-05-15"/>
    <x v="6"/>
    <x v="0"/>
    <s v="West Bengal"/>
    <s v="Kolkata"/>
    <x v="0"/>
    <s v="Sofa"/>
    <s v="Sofa"/>
    <s v="Arun"/>
    <s v="Retail"/>
    <n v="1"/>
    <n v="31477"/>
    <n v="20"/>
    <n v="25181.599999999999"/>
    <n v="2290.86"/>
  </r>
  <r>
    <s v="ORD00662"/>
    <s v="2026-06-19"/>
    <x v="1"/>
    <x v="0"/>
    <s v="Odisha"/>
    <s v="Bhubaneswar"/>
    <x v="2"/>
    <s v="Pen"/>
    <s v="Pen"/>
    <s v="Vicky"/>
    <s v="Corporate"/>
    <n v="10"/>
    <n v="49674"/>
    <n v="0"/>
    <n v="496740"/>
    <n v="73936.39"/>
  </r>
  <r>
    <s v="ORD00663"/>
    <s v="2025-11-15"/>
    <x v="7"/>
    <x v="0"/>
    <s v="Odisha"/>
    <s v="Bhubaneswar"/>
    <x v="1"/>
    <s v="Laptop"/>
    <s v="Laptop"/>
    <s v="Sneha"/>
    <s v="Retail"/>
    <n v="10"/>
    <n v="21822"/>
    <n v="0"/>
    <n v="218220"/>
    <n v="22645.72"/>
  </r>
  <r>
    <s v="ORD00664"/>
    <s v="2026-04-01"/>
    <x v="2"/>
    <x v="0"/>
    <s v="Odisha"/>
    <s v="Bhubaneswar"/>
    <x v="1"/>
    <s v="Laptop"/>
    <s v="Laptop"/>
    <s v="Vicky"/>
    <s v="Corporate"/>
    <n v="2"/>
    <n v="27325"/>
    <n v="5"/>
    <n v="51917.5"/>
    <n v="2634.06"/>
  </r>
  <r>
    <s v="ORD00665"/>
    <s v="2026-03-11"/>
    <x v="0"/>
    <x v="3"/>
    <s v="Gujarat"/>
    <s v="Ahmedabad"/>
    <x v="0"/>
    <s v="Table"/>
    <s v="Table"/>
    <s v="Amit"/>
    <s v="Retail"/>
    <n v="2"/>
    <n v="45122"/>
    <n v="0"/>
    <n v="90244"/>
    <n v="18585.16"/>
  </r>
  <r>
    <s v="ORD00666"/>
    <s v="2025-12-15"/>
    <x v="3"/>
    <x v="0"/>
    <s v="Odisha"/>
    <s v="Bhubaneswar"/>
    <x v="1"/>
    <s v="Keyboard"/>
    <s v="Keyboard"/>
    <s v="Arun"/>
    <s v="Corporate"/>
    <n v="4"/>
    <n v="6897"/>
    <n v="5"/>
    <n v="26208.6"/>
    <n v="3183.22"/>
  </r>
  <r>
    <s v="ORD00667"/>
    <s v="2025-10-18"/>
    <x v="11"/>
    <x v="0"/>
    <s v="West Bengal"/>
    <s v="Kolkata"/>
    <x v="1"/>
    <s v="Mobile"/>
    <s v="Mobile"/>
    <s v="Sneha"/>
    <s v="Retail"/>
    <n v="10"/>
    <n v="3410"/>
    <n v="20"/>
    <n v="27280"/>
    <n v="6020.52"/>
  </r>
  <r>
    <s v="ORD00668"/>
    <s v="2026-01-17"/>
    <x v="4"/>
    <x v="3"/>
    <s v="Gujarat"/>
    <s v="Ahmedabad"/>
    <x v="2"/>
    <s v="Printer Paper"/>
    <s v="Printer Paper"/>
    <s v="Sneha"/>
    <s v="Corporate"/>
    <n v="3"/>
    <n v="25893"/>
    <n v="15"/>
    <n v="66027.149999999994"/>
    <n v="7166.29"/>
  </r>
  <r>
    <s v="ORD00669"/>
    <s v="2025-01-09"/>
    <x v="4"/>
    <x v="2"/>
    <s v="Chandigarh"/>
    <s v="Chandigarh"/>
    <x v="1"/>
    <s v="Monitor"/>
    <s v="Monitor"/>
    <s v="Amit"/>
    <s v="Corporate"/>
    <n v="1"/>
    <n v="41266"/>
    <n v="0"/>
    <n v="41266"/>
    <n v="5153.24"/>
  </r>
  <r>
    <s v="ORD00670"/>
    <s v="2026-05-06"/>
    <x v="6"/>
    <x v="2"/>
    <s v="Chandigarh"/>
    <s v="Chandigarh"/>
    <x v="1"/>
    <s v="Mobile"/>
    <s v="Mobile"/>
    <s v="John"/>
    <s v="Corporate"/>
    <n v="6"/>
    <n v="10467"/>
    <n v="5"/>
    <n v="59661.9"/>
    <n v="15668.47"/>
  </r>
  <r>
    <s v="ORD00671"/>
    <s v="2026-02-04"/>
    <x v="9"/>
    <x v="0"/>
    <s v="West Bengal"/>
    <s v="Kolkata"/>
    <x v="2"/>
    <s v="Printer Paper"/>
    <s v="Printer Paper"/>
    <s v="Arun"/>
    <s v="Corporate"/>
    <n v="5"/>
    <n v="26004"/>
    <n v="10"/>
    <n v="117018"/>
    <n v="22942.27"/>
  </r>
  <r>
    <s v="ORD00672"/>
    <s v="2026-04-27"/>
    <x v="2"/>
    <x v="2"/>
    <s v="Delhi"/>
    <s v="Delhi"/>
    <x v="0"/>
    <s v="Sofa"/>
    <s v="Sofa"/>
    <s v="Meena"/>
    <s v="Corporate"/>
    <n v="4"/>
    <n v="31107"/>
    <n v="20"/>
    <n v="99542.399999999994"/>
    <n v="11149.4"/>
  </r>
  <r>
    <s v="ORD00673"/>
    <s v="2026-02-14"/>
    <x v="9"/>
    <x v="1"/>
    <s v="Tamil Nadu"/>
    <s v="Chennai"/>
    <x v="2"/>
    <s v="Notebook"/>
    <s v="Notebook"/>
    <s v="Priya"/>
    <s v="Corporate"/>
    <n v="9"/>
    <n v="21355"/>
    <n v="5"/>
    <n v="182585.25"/>
    <n v="12762.45"/>
  </r>
  <r>
    <s v="ORD00674"/>
    <s v="2025-05-21"/>
    <x v="6"/>
    <x v="0"/>
    <s v="West Bengal"/>
    <s v="Kolkata"/>
    <x v="2"/>
    <s v="Stapler"/>
    <s v="Stapler"/>
    <s v="Rahul"/>
    <s v="Corporate"/>
    <n v="9"/>
    <n v="46597"/>
    <n v="0"/>
    <n v="419373"/>
    <n v="100343.83"/>
  </r>
  <r>
    <s v="ORD00675"/>
    <s v="2026-03-22"/>
    <x v="0"/>
    <x v="3"/>
    <s v="Maharashtra"/>
    <s v="Mumbai"/>
    <x v="2"/>
    <s v="Pen"/>
    <s v="Pen"/>
    <s v="Rahul"/>
    <s v="Retail"/>
    <n v="10"/>
    <n v="24660"/>
    <n v="20"/>
    <n v="197280"/>
    <n v="54317.35"/>
  </r>
  <r>
    <s v="ORD00676"/>
    <s v="2025-03-24"/>
    <x v="0"/>
    <x v="3"/>
    <s v="Gujarat"/>
    <s v="Ahmedabad"/>
    <x v="0"/>
    <s v="Sofa"/>
    <s v="Sofa"/>
    <s v="Arun"/>
    <s v="Corporate"/>
    <n v="1"/>
    <n v="5028"/>
    <n v="15"/>
    <n v="4273.8"/>
    <n v="1216.19"/>
  </r>
  <r>
    <s v="ORD00677"/>
    <s v="2025-07-26"/>
    <x v="5"/>
    <x v="0"/>
    <s v="West Bengal"/>
    <s v="Kolkata"/>
    <x v="1"/>
    <s v="Keyboard"/>
    <s v="Keyboard"/>
    <s v="Priya"/>
    <s v="Retail"/>
    <n v="7"/>
    <n v="43520"/>
    <n v="0"/>
    <n v="304640"/>
    <n v="38396.639999999999"/>
  </r>
  <r>
    <s v="ORD00678"/>
    <s v="2026-04-02"/>
    <x v="2"/>
    <x v="0"/>
    <s v="Odisha"/>
    <s v="Bhubaneswar"/>
    <x v="2"/>
    <s v="Stapler"/>
    <s v="Stapler"/>
    <s v="Arun"/>
    <s v="Corporate"/>
    <n v="6"/>
    <n v="39911"/>
    <n v="10"/>
    <n v="215519.4"/>
    <n v="48163.519999999997"/>
  </r>
  <r>
    <s v="ORD00679"/>
    <s v="2026-03-26"/>
    <x v="0"/>
    <x v="2"/>
    <s v="Chandigarh"/>
    <s v="Chandigarh"/>
    <x v="0"/>
    <s v="Chair"/>
    <s v="Chair"/>
    <s v="Vicky"/>
    <s v="Corporate"/>
    <n v="2"/>
    <n v="25219"/>
    <n v="0"/>
    <n v="50438"/>
    <n v="7910.02"/>
  </r>
  <r>
    <s v="ORD00680"/>
    <s v="2025-05-10"/>
    <x v="6"/>
    <x v="0"/>
    <s v="West Bengal"/>
    <s v="Kolkata"/>
    <x v="2"/>
    <s v="Notebook"/>
    <s v="Notebook"/>
    <s v="Arun"/>
    <s v="Retail"/>
    <n v="8"/>
    <n v="27828"/>
    <n v="20"/>
    <n v="178099.20000000001"/>
    <n v="45149.91"/>
  </r>
  <r>
    <s v="ORD00681"/>
    <s v="2025-07-19"/>
    <x v="5"/>
    <x v="3"/>
    <s v="Maharashtra"/>
    <s v="Mumbai"/>
    <x v="1"/>
    <s v="Mobile"/>
    <s v="Mobile"/>
    <s v="Priya"/>
    <s v="Retail"/>
    <n v="10"/>
    <n v="24478"/>
    <n v="0"/>
    <n v="244780"/>
    <n v="43024.92"/>
  </r>
  <r>
    <s v="ORD00682"/>
    <s v="2025-02-20"/>
    <x v="9"/>
    <x v="2"/>
    <s v="Delhi"/>
    <s v="Delhi"/>
    <x v="1"/>
    <s v="Mobile"/>
    <s v="Mobile"/>
    <s v="John"/>
    <s v="Retail"/>
    <n v="8"/>
    <n v="41335"/>
    <n v="5"/>
    <n v="314146"/>
    <n v="90828.72"/>
  </r>
  <r>
    <s v="ORD00683"/>
    <s v="2025-01-19"/>
    <x v="4"/>
    <x v="2"/>
    <s v="Delhi"/>
    <s v="Delhi"/>
    <x v="2"/>
    <s v="Stapler"/>
    <s v="Stapler"/>
    <s v="Sneha"/>
    <s v="Retail"/>
    <n v="4"/>
    <n v="11061"/>
    <n v="10"/>
    <n v="39819.599999999999"/>
    <n v="5245.34"/>
  </r>
  <r>
    <s v="ORD00684"/>
    <s v="2026-06-18"/>
    <x v="1"/>
    <x v="0"/>
    <s v="Odisha"/>
    <s v="Bhubaneswar"/>
    <x v="0"/>
    <s v="Table"/>
    <s v="Table"/>
    <s v="John"/>
    <s v="Retail"/>
    <n v="5"/>
    <n v="42843"/>
    <n v="15"/>
    <n v="182082.75"/>
    <n v="51626.69"/>
  </r>
  <r>
    <s v="ORD00685"/>
    <s v="2026-06-14"/>
    <x v="1"/>
    <x v="3"/>
    <s v="Gujarat"/>
    <s v="Ahmedabad"/>
    <x v="2"/>
    <s v="Notebook"/>
    <s v="Notebook"/>
    <s v="Priya"/>
    <s v="Retail"/>
    <n v="2"/>
    <n v="46468"/>
    <n v="0"/>
    <n v="92936"/>
    <n v="5596.67"/>
  </r>
  <r>
    <s v="ORD00686"/>
    <s v="2026-02-02"/>
    <x v="9"/>
    <x v="1"/>
    <s v="Tamil Nadu"/>
    <s v="Chennai"/>
    <x v="1"/>
    <s v="Monitor"/>
    <s v="Monitor"/>
    <s v="Priya"/>
    <s v="Retail"/>
    <n v="6"/>
    <n v="43111"/>
    <n v="0"/>
    <n v="258666"/>
    <n v="31988.02"/>
  </r>
  <r>
    <s v="ORD00687"/>
    <s v="2025-04-02"/>
    <x v="2"/>
    <x v="1"/>
    <s v="Karnataka"/>
    <s v="Bengaluru"/>
    <x v="1"/>
    <s v="Mobile"/>
    <s v="Mobile"/>
    <s v="Meena"/>
    <s v="Corporate"/>
    <n v="8"/>
    <n v="38980"/>
    <n v="10"/>
    <n v="280656"/>
    <n v="73267.55"/>
  </r>
  <r>
    <s v="ORD00688"/>
    <s v="2025-03-21"/>
    <x v="0"/>
    <x v="3"/>
    <s v="Gujarat"/>
    <s v="Ahmedabad"/>
    <x v="1"/>
    <s v="Monitor"/>
    <s v="Monitor"/>
    <s v="Priya"/>
    <s v="Retail"/>
    <n v="9"/>
    <n v="46641"/>
    <n v="20"/>
    <n v="335815.2"/>
    <n v="26840.720000000001"/>
  </r>
  <r>
    <s v="ORD00689"/>
    <s v="2026-01-12"/>
    <x v="4"/>
    <x v="2"/>
    <s v="Chandigarh"/>
    <s v="Chandigarh"/>
    <x v="0"/>
    <s v="Table"/>
    <s v="Table"/>
    <s v="Amit"/>
    <s v="Retail"/>
    <n v="2"/>
    <n v="9628"/>
    <n v="5"/>
    <n v="18293.2"/>
    <n v="5260.88"/>
  </r>
  <r>
    <s v="ORD00690"/>
    <s v="2025-02-04"/>
    <x v="9"/>
    <x v="2"/>
    <s v="Chandigarh"/>
    <s v="Chandigarh"/>
    <x v="0"/>
    <s v="Chair"/>
    <s v="Chair"/>
    <s v="Rahul"/>
    <s v="Corporate"/>
    <n v="4"/>
    <n v="28268"/>
    <n v="10"/>
    <n v="101764.8"/>
    <n v="19237.310000000001"/>
  </r>
  <r>
    <s v="ORD00691"/>
    <s v="2025-08-13"/>
    <x v="8"/>
    <x v="3"/>
    <s v="Maharashtra"/>
    <s v="Mumbai"/>
    <x v="0"/>
    <s v="Desk"/>
    <s v="Desk"/>
    <s v="Arun"/>
    <s v="Corporate"/>
    <n v="3"/>
    <n v="41493"/>
    <n v="5"/>
    <n v="118255.05"/>
    <n v="7956.48"/>
  </r>
  <r>
    <s v="ORD00692"/>
    <s v="2025-12-14"/>
    <x v="3"/>
    <x v="2"/>
    <s v="Chandigarh"/>
    <s v="Chandigarh"/>
    <x v="1"/>
    <s v="Monitor"/>
    <s v="Monitor"/>
    <s v="Vicky"/>
    <s v="Retail"/>
    <n v="3"/>
    <n v="17642"/>
    <n v="5"/>
    <n v="50279.7"/>
    <n v="12042.46"/>
  </r>
  <r>
    <s v="ORD00693"/>
    <s v="2025-09-15"/>
    <x v="10"/>
    <x v="0"/>
    <s v="Odisha"/>
    <s v="Bhubaneswar"/>
    <x v="0"/>
    <s v="Sofa"/>
    <s v="Sofa"/>
    <s v="John"/>
    <s v="Retail"/>
    <n v="5"/>
    <n v="42606"/>
    <n v="10"/>
    <n v="191727"/>
    <n v="19323.72"/>
  </r>
  <r>
    <s v="ORD00694"/>
    <s v="2025-02-12"/>
    <x v="9"/>
    <x v="1"/>
    <s v="Tamil Nadu"/>
    <s v="Chennai"/>
    <x v="2"/>
    <s v="Notebook"/>
    <s v="Notebook"/>
    <s v="John"/>
    <s v="Corporate"/>
    <n v="4"/>
    <n v="42483"/>
    <n v="10"/>
    <n v="152938.79999999999"/>
    <n v="28514.42"/>
  </r>
  <r>
    <s v="ORD00695"/>
    <s v="2026-03-08"/>
    <x v="0"/>
    <x v="1"/>
    <s v="Tamil Nadu"/>
    <s v="Chennai"/>
    <x v="1"/>
    <s v="Monitor"/>
    <s v="Monitor"/>
    <s v="John"/>
    <s v="Retail"/>
    <n v="1"/>
    <n v="34765"/>
    <n v="15"/>
    <n v="29550.25"/>
    <n v="1854.8"/>
  </r>
  <r>
    <s v="ORD00696"/>
    <s v="2025-02-04"/>
    <x v="9"/>
    <x v="2"/>
    <s v="Chandigarh"/>
    <s v="Chandigarh"/>
    <x v="2"/>
    <s v="Printer Paper"/>
    <s v="Printer Paper"/>
    <s v="John"/>
    <s v="Corporate"/>
    <n v="6"/>
    <n v="24295"/>
    <n v="5"/>
    <n v="138481.5"/>
    <n v="24574.13"/>
  </r>
  <r>
    <s v="ORD00697"/>
    <s v="2025-09-05"/>
    <x v="10"/>
    <x v="0"/>
    <s v="Odisha"/>
    <s v="Bhubaneswar"/>
    <x v="1"/>
    <s v="Monitor"/>
    <s v="Monitor"/>
    <s v="John"/>
    <s v="Retail"/>
    <n v="2"/>
    <n v="24432"/>
    <n v="15"/>
    <n v="41534.400000000001"/>
    <n v="7095.09"/>
  </r>
  <r>
    <s v="ORD00698"/>
    <s v="2025-11-09"/>
    <x v="7"/>
    <x v="0"/>
    <s v="Odisha"/>
    <s v="Bhubaneswar"/>
    <x v="1"/>
    <s v="Laptop"/>
    <s v="Laptop"/>
    <s v="Arun"/>
    <s v="Corporate"/>
    <n v="3"/>
    <n v="45209"/>
    <n v="5"/>
    <n v="128845.65"/>
    <n v="24962.38"/>
  </r>
  <r>
    <s v="ORD00699"/>
    <s v="2026-03-29"/>
    <x v="0"/>
    <x v="2"/>
    <s v="Delhi"/>
    <s v="Delhi"/>
    <x v="2"/>
    <s v="Pen"/>
    <s v="Pen"/>
    <s v="John"/>
    <s v="Corporate"/>
    <n v="9"/>
    <n v="19864"/>
    <n v="10"/>
    <n v="160898.4"/>
    <n v="30947.59"/>
  </r>
  <r>
    <s v="ORD00700"/>
    <s v="2026-02-06"/>
    <x v="9"/>
    <x v="0"/>
    <s v="West Bengal"/>
    <s v="Kolkata"/>
    <x v="2"/>
    <s v="Stapler"/>
    <s v="Stapler"/>
    <s v="Vicky"/>
    <s v="Retail"/>
    <n v="3"/>
    <n v="22231"/>
    <n v="0"/>
    <n v="66693"/>
    <n v="8923.8799999999992"/>
  </r>
  <r>
    <s v="ORD00701"/>
    <s v="2025-06-25"/>
    <x v="1"/>
    <x v="1"/>
    <s v="Karnataka"/>
    <s v="Bengaluru"/>
    <x v="0"/>
    <s v="Sofa"/>
    <s v="Sofa"/>
    <s v="Meena"/>
    <s v="Retail"/>
    <n v="10"/>
    <n v="28250"/>
    <n v="15"/>
    <n v="240125"/>
    <n v="52536.7"/>
  </r>
  <r>
    <s v="ORD00702"/>
    <s v="2026-04-10"/>
    <x v="2"/>
    <x v="2"/>
    <s v="Chandigarh"/>
    <s v="Chandigarh"/>
    <x v="2"/>
    <s v="Printer Paper"/>
    <s v="Printer Paper"/>
    <s v="Amit"/>
    <s v="Retail"/>
    <n v="5"/>
    <n v="1193"/>
    <n v="5"/>
    <n v="5666.75"/>
    <n v="982.75"/>
  </r>
  <r>
    <s v="ORD00703"/>
    <s v="2025-07-27"/>
    <x v="5"/>
    <x v="2"/>
    <s v="Chandigarh"/>
    <s v="Chandigarh"/>
    <x v="0"/>
    <s v="Sofa"/>
    <s v="Sofa"/>
    <s v="Arun"/>
    <s v="Corporate"/>
    <n v="6"/>
    <n v="22455"/>
    <n v="15"/>
    <n v="114520.5"/>
    <n v="28584.27"/>
  </r>
  <r>
    <s v="ORD00704"/>
    <s v="2026-06-14"/>
    <x v="1"/>
    <x v="2"/>
    <s v="Delhi"/>
    <s v="Delhi"/>
    <x v="1"/>
    <s v="Mobile"/>
    <s v="Mobile"/>
    <s v="Rahul"/>
    <s v="Corporate"/>
    <n v="3"/>
    <n v="4918"/>
    <n v="10"/>
    <n v="13278.6"/>
    <n v="3277.29"/>
  </r>
  <r>
    <s v="ORD00705"/>
    <s v="2026-03-21"/>
    <x v="0"/>
    <x v="1"/>
    <s v="Karnataka"/>
    <s v="Bengaluru"/>
    <x v="1"/>
    <s v="Keyboard"/>
    <s v="Keyboard"/>
    <s v="Priya"/>
    <s v="Corporate"/>
    <n v="5"/>
    <n v="30138"/>
    <n v="10"/>
    <n v="135621"/>
    <n v="30985.22"/>
  </r>
  <r>
    <s v="ORD00706"/>
    <s v="2025-05-17"/>
    <x v="6"/>
    <x v="0"/>
    <s v="West Bengal"/>
    <s v="Kolkata"/>
    <x v="2"/>
    <s v="Pen"/>
    <s v="Pen"/>
    <s v="Arun"/>
    <s v="Retail"/>
    <n v="1"/>
    <n v="40995"/>
    <n v="20"/>
    <n v="32796"/>
    <n v="8952.9500000000007"/>
  </r>
  <r>
    <s v="ORD00707"/>
    <s v="2025-03-02"/>
    <x v="0"/>
    <x v="1"/>
    <s v="Karnataka"/>
    <s v="Bengaluru"/>
    <x v="2"/>
    <s v="Printer Paper"/>
    <s v="Printer Paper"/>
    <s v="Priya"/>
    <s v="Retail"/>
    <n v="1"/>
    <n v="695"/>
    <n v="0"/>
    <n v="695"/>
    <n v="74.66"/>
  </r>
  <r>
    <s v="ORD00708"/>
    <s v="2026-03-23"/>
    <x v="0"/>
    <x v="2"/>
    <s v="Delhi"/>
    <s v="Delhi"/>
    <x v="1"/>
    <s v="Mobile"/>
    <s v="Mobile"/>
    <s v="Priya"/>
    <s v="Retail"/>
    <n v="5"/>
    <n v="35923"/>
    <n v="15"/>
    <n v="152672.75"/>
    <n v="35304.19"/>
  </r>
  <r>
    <s v="ORD00709"/>
    <s v="2025-01-07"/>
    <x v="4"/>
    <x v="2"/>
    <s v="Chandigarh"/>
    <s v="Chandigarh"/>
    <x v="2"/>
    <s v="Stapler"/>
    <s v="Stapler"/>
    <s v="Amit"/>
    <s v="Corporate"/>
    <n v="3"/>
    <n v="24369"/>
    <n v="10"/>
    <n v="65796.3"/>
    <n v="3677.89"/>
  </r>
  <r>
    <s v="ORD00710"/>
    <s v="2025-01-07"/>
    <x v="4"/>
    <x v="0"/>
    <s v="West Bengal"/>
    <s v="Kolkata"/>
    <x v="2"/>
    <s v="Notebook"/>
    <s v="Notebook"/>
    <s v="Vicky"/>
    <s v="Corporate"/>
    <n v="9"/>
    <n v="46190"/>
    <n v="15"/>
    <n v="353353.5"/>
    <n v="33871.35"/>
  </r>
  <r>
    <s v="ORD00711"/>
    <s v="2025-12-18"/>
    <x v="3"/>
    <x v="0"/>
    <s v="Odisha"/>
    <s v="Bhubaneswar"/>
    <x v="0"/>
    <s v="Sofa"/>
    <s v="Sofa"/>
    <s v="Vicky"/>
    <s v="Retail"/>
    <n v="3"/>
    <n v="31801"/>
    <n v="20"/>
    <n v="76322.399999999994"/>
    <n v="18227.259999999998"/>
  </r>
  <r>
    <s v="ORD00712"/>
    <s v="2025-07-26"/>
    <x v="5"/>
    <x v="1"/>
    <s v="Tamil Nadu"/>
    <s v="Chennai"/>
    <x v="0"/>
    <s v="Sofa"/>
    <s v="Sofa"/>
    <s v="Meena"/>
    <s v="Retail"/>
    <n v="8"/>
    <n v="7208"/>
    <n v="20"/>
    <n v="46131.199999999997"/>
    <n v="9614.98"/>
  </r>
  <r>
    <s v="ORD00713"/>
    <s v="2025-08-28"/>
    <x v="8"/>
    <x v="3"/>
    <s v="Maharashtra"/>
    <s v="Mumbai"/>
    <x v="2"/>
    <s v="Printer Paper"/>
    <s v="Printer Paper"/>
    <s v="Rahul"/>
    <s v="Retail"/>
    <n v="6"/>
    <n v="16936"/>
    <n v="15"/>
    <n v="86373.6"/>
    <n v="24099.439999999999"/>
  </r>
  <r>
    <s v="ORD00714"/>
    <s v="2025-01-17"/>
    <x v="4"/>
    <x v="2"/>
    <s v="Chandigarh"/>
    <s v="Chandigarh"/>
    <x v="2"/>
    <s v="Notebook"/>
    <s v="Notebook"/>
    <s v="Rahul"/>
    <s v="Retail"/>
    <n v="6"/>
    <n v="39642"/>
    <n v="10"/>
    <n v="214066.8"/>
    <n v="25885.35"/>
  </r>
  <r>
    <s v="ORD00715"/>
    <s v="2026-01-20"/>
    <x v="4"/>
    <x v="2"/>
    <s v="Delhi"/>
    <s v="Delhi"/>
    <x v="1"/>
    <s v="Keyboard"/>
    <s v="Keyboard"/>
    <s v="Amit"/>
    <s v="Retail"/>
    <n v="7"/>
    <n v="38499"/>
    <n v="0"/>
    <n v="269493"/>
    <n v="46512.63"/>
  </r>
  <r>
    <s v="ORD00716"/>
    <s v="2025-10-15"/>
    <x v="11"/>
    <x v="1"/>
    <s v="Karnataka"/>
    <s v="Bengaluru"/>
    <x v="2"/>
    <s v="Pen"/>
    <s v="Pen"/>
    <s v="Meena"/>
    <s v="Corporate"/>
    <n v="2"/>
    <n v="37264"/>
    <n v="10"/>
    <n v="67075.199999999997"/>
    <n v="6347.08"/>
  </r>
  <r>
    <s v="ORD00717"/>
    <s v="2025-10-03"/>
    <x v="11"/>
    <x v="2"/>
    <s v="Delhi"/>
    <s v="Delhi"/>
    <x v="2"/>
    <s v="Pen"/>
    <s v="Pen"/>
    <s v="Priya"/>
    <s v="Retail"/>
    <n v="9"/>
    <n v="6488"/>
    <n v="5"/>
    <n v="55472.4"/>
    <n v="13690.81"/>
  </r>
  <r>
    <s v="ORD00718"/>
    <s v="2025-05-12"/>
    <x v="6"/>
    <x v="2"/>
    <s v="Delhi"/>
    <s v="Delhi"/>
    <x v="0"/>
    <s v="Chair"/>
    <s v="Chair"/>
    <s v="Arun"/>
    <s v="Corporate"/>
    <n v="4"/>
    <n v="8369"/>
    <n v="20"/>
    <n v="26780.799999999999"/>
    <n v="2838.7"/>
  </r>
  <r>
    <s v="ORD00719"/>
    <s v="2026-03-13"/>
    <x v="0"/>
    <x v="2"/>
    <s v="Delhi"/>
    <s v="Delhi"/>
    <x v="0"/>
    <s v="Table"/>
    <s v="Table"/>
    <s v="Meena"/>
    <s v="Corporate"/>
    <n v="4"/>
    <n v="9305"/>
    <n v="0"/>
    <n v="37220"/>
    <n v="7459.46"/>
  </r>
  <r>
    <s v="ORD00720"/>
    <s v="2025-02-06"/>
    <x v="9"/>
    <x v="1"/>
    <s v="Karnataka"/>
    <s v="Bengaluru"/>
    <x v="1"/>
    <s v="Mobile"/>
    <s v="Mobile"/>
    <s v="Rahul"/>
    <s v="Retail"/>
    <n v="2"/>
    <n v="23525"/>
    <n v="10"/>
    <n v="42345"/>
    <n v="3280.61"/>
  </r>
  <r>
    <s v="ORD00721"/>
    <s v="2025-10-19"/>
    <x v="11"/>
    <x v="3"/>
    <s v="Maharashtra"/>
    <s v="Mumbai"/>
    <x v="2"/>
    <s v="Printer Paper"/>
    <s v="Printer Paper"/>
    <s v="Amit"/>
    <s v="Retail"/>
    <n v="7"/>
    <n v="34367"/>
    <n v="20"/>
    <n v="192455.2"/>
    <n v="34875.78"/>
  </r>
  <r>
    <s v="ORD00722"/>
    <s v="2026-02-06"/>
    <x v="9"/>
    <x v="2"/>
    <s v="Delhi"/>
    <s v="Delhi"/>
    <x v="1"/>
    <s v="Monitor"/>
    <s v="Monitor"/>
    <s v="Vicky"/>
    <s v="Retail"/>
    <n v="9"/>
    <n v="1945"/>
    <n v="0"/>
    <n v="17505"/>
    <n v="5102.62"/>
  </r>
  <r>
    <s v="ORD00723"/>
    <s v="2026-02-21"/>
    <x v="9"/>
    <x v="2"/>
    <s v="Delhi"/>
    <s v="Delhi"/>
    <x v="2"/>
    <s v="Printer Paper"/>
    <s v="Printer Paper"/>
    <s v="Meena"/>
    <s v="Corporate"/>
    <n v="3"/>
    <n v="7896"/>
    <n v="10"/>
    <n v="21319.200000000001"/>
    <n v="3490.37"/>
  </r>
  <r>
    <s v="ORD00724"/>
    <s v="2026-02-04"/>
    <x v="9"/>
    <x v="1"/>
    <s v="Karnataka"/>
    <s v="Bengaluru"/>
    <x v="1"/>
    <s v="Monitor"/>
    <s v="Monitor"/>
    <s v="Priya"/>
    <s v="Retail"/>
    <n v="10"/>
    <n v="48467"/>
    <n v="15"/>
    <n v="411969.5"/>
    <n v="109330.66"/>
  </r>
  <r>
    <s v="ORD00725"/>
    <s v="2025-09-20"/>
    <x v="10"/>
    <x v="3"/>
    <s v="Gujarat"/>
    <s v="Ahmedabad"/>
    <x v="0"/>
    <s v="Chair"/>
    <s v="Chair"/>
    <s v="Sneha"/>
    <s v="Retail"/>
    <n v="8"/>
    <n v="31357"/>
    <n v="5"/>
    <n v="238313.2"/>
    <n v="42090.05"/>
  </r>
  <r>
    <s v="ORD00726"/>
    <s v="2025-06-17"/>
    <x v="1"/>
    <x v="0"/>
    <s v="Odisha"/>
    <s v="Bhubaneswar"/>
    <x v="0"/>
    <s v="Sofa"/>
    <s v="Sofa"/>
    <s v="Amit"/>
    <s v="Corporate"/>
    <n v="2"/>
    <n v="10280"/>
    <n v="5"/>
    <n v="19532"/>
    <n v="4703.9399999999996"/>
  </r>
  <r>
    <s v="ORD00727"/>
    <s v="2025-01-08"/>
    <x v="4"/>
    <x v="0"/>
    <s v="Odisha"/>
    <s v="Bhubaneswar"/>
    <x v="0"/>
    <s v="Desk"/>
    <s v="Desk"/>
    <s v="Arun"/>
    <s v="Retail"/>
    <n v="7"/>
    <n v="37367"/>
    <n v="15"/>
    <n v="222333.65"/>
    <n v="31978.55"/>
  </r>
  <r>
    <s v="ORD00728"/>
    <s v="2025-10-14"/>
    <x v="11"/>
    <x v="1"/>
    <s v="Karnataka"/>
    <s v="Bengaluru"/>
    <x v="1"/>
    <s v="Keyboard"/>
    <s v="Keyboard"/>
    <s v="Vicky"/>
    <s v="Corporate"/>
    <n v="8"/>
    <n v="21909"/>
    <n v="10"/>
    <n v="157744.79999999999"/>
    <n v="35716.879999999997"/>
  </r>
  <r>
    <s v="ORD00729"/>
    <s v="2025-09-14"/>
    <x v="10"/>
    <x v="0"/>
    <s v="West Bengal"/>
    <s v="Kolkata"/>
    <x v="2"/>
    <s v="Pen"/>
    <s v="Pen"/>
    <s v="Arun"/>
    <s v="Corporate"/>
    <n v="6"/>
    <n v="909"/>
    <n v="5"/>
    <n v="5181.3"/>
    <n v="762.19"/>
  </r>
  <r>
    <s v="ORD00730"/>
    <s v="2025-09-11"/>
    <x v="10"/>
    <x v="3"/>
    <s v="Gujarat"/>
    <s v="Ahmedabad"/>
    <x v="0"/>
    <s v="Chair"/>
    <s v="Chair"/>
    <s v="John"/>
    <s v="Corporate"/>
    <n v="3"/>
    <n v="42374"/>
    <n v="0"/>
    <n v="127122"/>
    <n v="27590.31"/>
  </r>
  <r>
    <s v="ORD00731"/>
    <s v="2026-03-22"/>
    <x v="0"/>
    <x v="0"/>
    <s v="Odisha"/>
    <s v="Bhubaneswar"/>
    <x v="2"/>
    <s v="Notebook"/>
    <s v="Notebook"/>
    <s v="Priya"/>
    <s v="Corporate"/>
    <n v="2"/>
    <n v="46128"/>
    <n v="20"/>
    <n v="73804.800000000003"/>
    <n v="8404.99"/>
  </r>
  <r>
    <s v="ORD00732"/>
    <s v="2026-04-26"/>
    <x v="2"/>
    <x v="1"/>
    <s v="Tamil Nadu"/>
    <s v="Chennai"/>
    <x v="1"/>
    <s v="Mobile"/>
    <s v="Mobile"/>
    <s v="Vicky"/>
    <s v="Corporate"/>
    <n v="7"/>
    <n v="44320"/>
    <n v="15"/>
    <n v="263704"/>
    <n v="62733.78"/>
  </r>
  <r>
    <s v="ORD00733"/>
    <s v="2025-11-07"/>
    <x v="7"/>
    <x v="3"/>
    <s v="Gujarat"/>
    <s v="Ahmedabad"/>
    <x v="1"/>
    <s v="Laptop"/>
    <s v="Laptop"/>
    <s v="Arun"/>
    <s v="Corporate"/>
    <n v="1"/>
    <n v="29327"/>
    <n v="10"/>
    <n v="26394.3"/>
    <n v="2444.38"/>
  </r>
  <r>
    <s v="ORD00734"/>
    <s v="2026-05-07"/>
    <x v="6"/>
    <x v="3"/>
    <s v="Gujarat"/>
    <s v="Ahmedabad"/>
    <x v="0"/>
    <s v="Table"/>
    <s v="Table"/>
    <s v="Sneha"/>
    <s v="Corporate"/>
    <n v="1"/>
    <n v="13109"/>
    <n v="0"/>
    <n v="13109"/>
    <n v="3879.37"/>
  </r>
  <r>
    <s v="ORD00735"/>
    <s v="2026-04-06"/>
    <x v="2"/>
    <x v="3"/>
    <s v="Maharashtra"/>
    <s v="Mumbai"/>
    <x v="1"/>
    <s v="Keyboard"/>
    <s v="Keyboard"/>
    <s v="Sneha"/>
    <s v="Retail"/>
    <n v="6"/>
    <n v="3296"/>
    <n v="10"/>
    <n v="17798.400000000001"/>
    <n v="2090.39"/>
  </r>
  <r>
    <s v="ORD00736"/>
    <s v="2025-06-13"/>
    <x v="1"/>
    <x v="2"/>
    <s v="Delhi"/>
    <s v="Delhi"/>
    <x v="0"/>
    <s v="Sofa"/>
    <s v="Sofa"/>
    <s v="Vicky"/>
    <s v="Retail"/>
    <n v="7"/>
    <n v="17474"/>
    <n v="0"/>
    <n v="122318"/>
    <n v="23700.97"/>
  </r>
  <r>
    <s v="ORD00737"/>
    <s v="2025-02-05"/>
    <x v="9"/>
    <x v="2"/>
    <s v="Delhi"/>
    <s v="Delhi"/>
    <x v="0"/>
    <s v="Sofa"/>
    <s v="Sofa"/>
    <s v="Sneha"/>
    <s v="Retail"/>
    <n v="10"/>
    <n v="39346"/>
    <n v="10"/>
    <n v="354114"/>
    <n v="104402.09"/>
  </r>
  <r>
    <s v="ORD00738"/>
    <s v="2026-06-05"/>
    <x v="1"/>
    <x v="0"/>
    <s v="West Bengal"/>
    <s v="Kolkata"/>
    <x v="2"/>
    <s v="Pen"/>
    <s v="Pen"/>
    <s v="Arun"/>
    <s v="Corporate"/>
    <n v="5"/>
    <n v="24373"/>
    <n v="5"/>
    <n v="115771.75"/>
    <n v="25420.42"/>
  </r>
  <r>
    <s v="ORD00739"/>
    <s v="2025-05-14"/>
    <x v="6"/>
    <x v="2"/>
    <s v="Chandigarh"/>
    <s v="Chandigarh"/>
    <x v="2"/>
    <s v="Printer Paper"/>
    <s v="Printer Paper"/>
    <s v="Rahul"/>
    <s v="Corporate"/>
    <n v="8"/>
    <n v="23192"/>
    <n v="20"/>
    <n v="148428.79999999999"/>
    <n v="16926.669999999998"/>
  </r>
  <r>
    <s v="ORD00740"/>
    <s v="2025-12-09"/>
    <x v="3"/>
    <x v="2"/>
    <s v="Delhi"/>
    <s v="Delhi"/>
    <x v="0"/>
    <s v="Chair"/>
    <s v="Chair"/>
    <s v="John"/>
    <s v="Retail"/>
    <n v="7"/>
    <n v="32178"/>
    <n v="5"/>
    <n v="213983.7"/>
    <n v="53023.32"/>
  </r>
  <r>
    <s v="ORD00741"/>
    <s v="2025-11-11"/>
    <x v="7"/>
    <x v="0"/>
    <s v="Odisha"/>
    <s v="Bhubaneswar"/>
    <x v="0"/>
    <s v="Desk"/>
    <s v="Desk"/>
    <s v="Meena"/>
    <s v="Corporate"/>
    <n v="8"/>
    <n v="42155"/>
    <n v="0"/>
    <n v="337240"/>
    <n v="44129.74"/>
  </r>
  <r>
    <s v="ORD00742"/>
    <s v="2025-05-31"/>
    <x v="6"/>
    <x v="2"/>
    <s v="Chandigarh"/>
    <s v="Chandigarh"/>
    <x v="0"/>
    <s v="Chair"/>
    <s v="Chair"/>
    <s v="Sneha"/>
    <s v="Corporate"/>
    <n v="6"/>
    <n v="2598"/>
    <n v="20"/>
    <n v="12470.4"/>
    <n v="2038.31"/>
  </r>
  <r>
    <s v="ORD00743"/>
    <s v="2026-02-07"/>
    <x v="9"/>
    <x v="3"/>
    <s v="Gujarat"/>
    <s v="Ahmedabad"/>
    <x v="2"/>
    <s v="Stapler"/>
    <s v="Stapler"/>
    <s v="Sneha"/>
    <s v="Retail"/>
    <n v="2"/>
    <n v="13777"/>
    <n v="20"/>
    <n v="22043.200000000001"/>
    <n v="1748.02"/>
  </r>
  <r>
    <s v="ORD00744"/>
    <s v="2025-09-27"/>
    <x v="10"/>
    <x v="1"/>
    <s v="Karnataka"/>
    <s v="Bengaluru"/>
    <x v="0"/>
    <s v="Table"/>
    <s v="Table"/>
    <s v="Sneha"/>
    <s v="Retail"/>
    <n v="3"/>
    <n v="12064"/>
    <n v="10"/>
    <n v="32572.799999999999"/>
    <n v="5202.8100000000004"/>
  </r>
  <r>
    <s v="ORD00745"/>
    <s v="2025-01-20"/>
    <x v="4"/>
    <x v="3"/>
    <s v="Gujarat"/>
    <s v="Ahmedabad"/>
    <x v="2"/>
    <s v="Printer Paper"/>
    <s v="Printer Paper"/>
    <s v="Vicky"/>
    <s v="Corporate"/>
    <n v="10"/>
    <n v="34667"/>
    <n v="0"/>
    <n v="346670"/>
    <n v="95998.96"/>
  </r>
  <r>
    <s v="ORD00746"/>
    <s v="2025-02-03"/>
    <x v="9"/>
    <x v="2"/>
    <s v="Chandigarh"/>
    <s v="Chandigarh"/>
    <x v="2"/>
    <s v="Printer Paper"/>
    <s v="Printer Paper"/>
    <s v="Meena"/>
    <s v="Retail"/>
    <n v="3"/>
    <n v="8508"/>
    <n v="5"/>
    <n v="24247.8"/>
    <n v="3522.59"/>
  </r>
  <r>
    <s v="ORD00747"/>
    <s v="2026-05-12"/>
    <x v="6"/>
    <x v="0"/>
    <s v="Odisha"/>
    <s v="Bhubaneswar"/>
    <x v="0"/>
    <s v="Desk"/>
    <s v="Desk"/>
    <s v="Meena"/>
    <s v="Retail"/>
    <n v="10"/>
    <n v="27454"/>
    <n v="5"/>
    <n v="260813"/>
    <n v="73328.62"/>
  </r>
  <r>
    <s v="ORD00748"/>
    <s v="2025-01-06"/>
    <x v="4"/>
    <x v="1"/>
    <s v="Karnataka"/>
    <s v="Bengaluru"/>
    <x v="2"/>
    <s v="Notebook"/>
    <s v="Notebook"/>
    <s v="Meena"/>
    <s v="Retail"/>
    <n v="8"/>
    <n v="36606"/>
    <n v="0"/>
    <n v="292848"/>
    <n v="39072.870000000003"/>
  </r>
  <r>
    <s v="ORD00749"/>
    <s v="2025-05-25"/>
    <x v="6"/>
    <x v="3"/>
    <s v="Maharashtra"/>
    <s v="Mumbai"/>
    <x v="1"/>
    <s v="Monitor"/>
    <s v="Monitor"/>
    <s v="John"/>
    <s v="Corporate"/>
    <n v="2"/>
    <n v="493"/>
    <n v="20"/>
    <n v="788.8"/>
    <n v="95.37"/>
  </r>
  <r>
    <s v="ORD00750"/>
    <s v="2025-05-27"/>
    <x v="6"/>
    <x v="3"/>
    <s v="Maharashtra"/>
    <s v="Mumbai"/>
    <x v="1"/>
    <s v="Monitor"/>
    <s v="Monitor"/>
    <s v="Amit"/>
    <s v="Corporate"/>
    <n v="10"/>
    <n v="43253"/>
    <n v="10"/>
    <n v="389277"/>
    <n v="84145.41"/>
  </r>
  <r>
    <s v="ORD00751"/>
    <s v="2025-02-20"/>
    <x v="9"/>
    <x v="1"/>
    <s v="Tamil Nadu"/>
    <s v="Chennai"/>
    <x v="1"/>
    <s v="Keyboard"/>
    <s v="Keyboard"/>
    <s v="Rahul"/>
    <s v="Retail"/>
    <n v="5"/>
    <n v="21395"/>
    <n v="10"/>
    <n v="96277.5"/>
    <n v="17034.419999999998"/>
  </r>
  <r>
    <s v="ORD00752"/>
    <s v="2025-03-22"/>
    <x v="0"/>
    <x v="3"/>
    <s v="Maharashtra"/>
    <s v="Mumbai"/>
    <x v="0"/>
    <s v="Chair"/>
    <s v="Chair"/>
    <s v="Meena"/>
    <s v="Retail"/>
    <n v="7"/>
    <n v="35526"/>
    <n v="10"/>
    <n v="223813.8"/>
    <n v="13280.53"/>
  </r>
  <r>
    <s v="ORD00753"/>
    <s v="2025-09-03"/>
    <x v="10"/>
    <x v="3"/>
    <s v="Maharashtra"/>
    <s v="Mumbai"/>
    <x v="0"/>
    <s v="Desk"/>
    <s v="Desk"/>
    <s v="Rahul"/>
    <s v="Retail"/>
    <n v="10"/>
    <n v="10428"/>
    <n v="5"/>
    <n v="99066"/>
    <n v="11873.36"/>
  </r>
  <r>
    <s v="ORD00754"/>
    <s v="2025-04-09"/>
    <x v="2"/>
    <x v="1"/>
    <s v="Tamil Nadu"/>
    <s v="Chennai"/>
    <x v="0"/>
    <s v="Chair"/>
    <s v="Chair"/>
    <s v="Amit"/>
    <s v="Retail"/>
    <n v="3"/>
    <n v="34782"/>
    <n v="10"/>
    <n v="93911.4"/>
    <n v="20551.009999999998"/>
  </r>
  <r>
    <s v="ORD00755"/>
    <s v="2025-10-29"/>
    <x v="11"/>
    <x v="3"/>
    <s v="Maharashtra"/>
    <s v="Mumbai"/>
    <x v="2"/>
    <s v="Stapler"/>
    <s v="Stapler"/>
    <s v="John"/>
    <s v="Corporate"/>
    <n v="5"/>
    <n v="2069"/>
    <n v="5"/>
    <n v="9827.75"/>
    <n v="1225.93"/>
  </r>
  <r>
    <s v="ORD00756"/>
    <s v="2025-10-04"/>
    <x v="11"/>
    <x v="3"/>
    <s v="Gujarat"/>
    <s v="Ahmedabad"/>
    <x v="1"/>
    <s v="Monitor"/>
    <s v="Monitor"/>
    <s v="Rahul"/>
    <s v="Retail"/>
    <n v="10"/>
    <n v="28388"/>
    <n v="5"/>
    <n v="269686"/>
    <n v="57303.040000000001"/>
  </r>
  <r>
    <s v="ORD00757"/>
    <s v="2025-08-07"/>
    <x v="8"/>
    <x v="3"/>
    <s v="Gujarat"/>
    <s v="Ahmedabad"/>
    <x v="0"/>
    <s v="Chair"/>
    <s v="Chair"/>
    <s v="Amit"/>
    <s v="Retail"/>
    <n v="9"/>
    <n v="1262"/>
    <n v="10"/>
    <n v="10222.200000000001"/>
    <n v="1109.3599999999999"/>
  </r>
  <r>
    <s v="ORD00758"/>
    <s v="2026-06-19"/>
    <x v="1"/>
    <x v="2"/>
    <s v="Chandigarh"/>
    <s v="Chandigarh"/>
    <x v="2"/>
    <s v="Stapler"/>
    <s v="Stapler"/>
    <s v="Vicky"/>
    <s v="Corporate"/>
    <n v="7"/>
    <n v="24577"/>
    <n v="10"/>
    <n v="154835.1"/>
    <n v="19325.43"/>
  </r>
  <r>
    <s v="ORD00759"/>
    <s v="2025-09-23"/>
    <x v="10"/>
    <x v="0"/>
    <s v="Odisha"/>
    <s v="Bhubaneswar"/>
    <x v="2"/>
    <s v="Printer Paper"/>
    <s v="Printer Paper"/>
    <s v="Amit"/>
    <s v="Retail"/>
    <n v="6"/>
    <n v="29971"/>
    <n v="5"/>
    <n v="170834.7"/>
    <n v="31581.42"/>
  </r>
  <r>
    <s v="ORD00760"/>
    <s v="2026-03-04"/>
    <x v="0"/>
    <x v="0"/>
    <s v="West Bengal"/>
    <s v="Kolkata"/>
    <x v="2"/>
    <s v="Notebook"/>
    <s v="Notebook"/>
    <s v="Arun"/>
    <s v="Corporate"/>
    <n v="9"/>
    <n v="23302"/>
    <n v="15"/>
    <n v="178260.3"/>
    <n v="48128.51"/>
  </r>
  <r>
    <s v="ORD00761"/>
    <s v="2026-05-04"/>
    <x v="6"/>
    <x v="0"/>
    <s v="Odisha"/>
    <s v="Bhubaneswar"/>
    <x v="0"/>
    <s v="Desk"/>
    <s v="Desk"/>
    <s v="Vicky"/>
    <s v="Retail"/>
    <n v="5"/>
    <n v="47084"/>
    <n v="0"/>
    <n v="235420"/>
    <n v="43761.9"/>
  </r>
  <r>
    <s v="ORD00762"/>
    <s v="2026-04-04"/>
    <x v="2"/>
    <x v="3"/>
    <s v="Maharashtra"/>
    <s v="Mumbai"/>
    <x v="2"/>
    <s v="Printer Paper"/>
    <s v="Printer Paper"/>
    <s v="Priya"/>
    <s v="Corporate"/>
    <n v="1"/>
    <n v="32872"/>
    <n v="20"/>
    <n v="26297.599999999999"/>
    <n v="4527.13"/>
  </r>
  <r>
    <s v="ORD00763"/>
    <s v="2025-05-31"/>
    <x v="6"/>
    <x v="1"/>
    <s v="Tamil Nadu"/>
    <s v="Chennai"/>
    <x v="1"/>
    <s v="Monitor"/>
    <s v="Monitor"/>
    <s v="John"/>
    <s v="Corporate"/>
    <n v="3"/>
    <n v="6990"/>
    <n v="5"/>
    <n v="19921.5"/>
    <n v="2607.23"/>
  </r>
  <r>
    <s v="ORD00764"/>
    <s v="2025-12-11"/>
    <x v="3"/>
    <x v="2"/>
    <s v="Delhi"/>
    <s v="Delhi"/>
    <x v="1"/>
    <s v="Monitor"/>
    <s v="Monitor"/>
    <s v="Arun"/>
    <s v="Retail"/>
    <n v="3"/>
    <n v="49869"/>
    <n v="10"/>
    <n v="134646.29999999999"/>
    <n v="20536.62"/>
  </r>
  <r>
    <s v="ORD00765"/>
    <s v="2026-05-03"/>
    <x v="6"/>
    <x v="2"/>
    <s v="Chandigarh"/>
    <s v="Chandigarh"/>
    <x v="2"/>
    <s v="Notebook"/>
    <s v="Notebook"/>
    <s v="Meena"/>
    <s v="Retail"/>
    <n v="2"/>
    <n v="8755"/>
    <n v="0"/>
    <n v="17510"/>
    <n v="2906.51"/>
  </r>
  <r>
    <s v="ORD00766"/>
    <s v="2026-04-16"/>
    <x v="2"/>
    <x v="0"/>
    <s v="West Bengal"/>
    <s v="Kolkata"/>
    <x v="1"/>
    <s v="Laptop"/>
    <s v="Laptop"/>
    <s v="Rahul"/>
    <s v="Corporate"/>
    <n v="3"/>
    <n v="48334"/>
    <n v="15"/>
    <n v="123251.7"/>
    <n v="9045.59"/>
  </r>
  <r>
    <s v="ORD00767"/>
    <s v="2025-11-25"/>
    <x v="7"/>
    <x v="0"/>
    <s v="West Bengal"/>
    <s v="Kolkata"/>
    <x v="2"/>
    <s v="Printer Paper"/>
    <s v="Printer Paper"/>
    <s v="Priya"/>
    <s v="Corporate"/>
    <n v="2"/>
    <n v="1838"/>
    <n v="10"/>
    <n v="3308.4"/>
    <n v="741.35"/>
  </r>
  <r>
    <s v="ORD00768"/>
    <s v="2025-02-05"/>
    <x v="9"/>
    <x v="2"/>
    <s v="Chandigarh"/>
    <s v="Chandigarh"/>
    <x v="0"/>
    <s v="Sofa"/>
    <s v="Sofa"/>
    <s v="Priya"/>
    <s v="Corporate"/>
    <n v="4"/>
    <n v="11213"/>
    <n v="10"/>
    <n v="40366.800000000003"/>
    <n v="4173.9399999999996"/>
  </r>
  <r>
    <s v="ORD00769"/>
    <s v="2026-03-17"/>
    <x v="0"/>
    <x v="3"/>
    <s v="Maharashtra"/>
    <s v="Mumbai"/>
    <x v="0"/>
    <s v="Desk"/>
    <s v="Desk"/>
    <s v="Arun"/>
    <s v="Retail"/>
    <n v="6"/>
    <n v="14058"/>
    <n v="0"/>
    <n v="84348"/>
    <n v="7670.02"/>
  </r>
  <r>
    <s v="ORD00770"/>
    <s v="2025-11-02"/>
    <x v="7"/>
    <x v="3"/>
    <s v="Gujarat"/>
    <s v="Ahmedabad"/>
    <x v="0"/>
    <s v="Chair"/>
    <s v="Chair"/>
    <s v="Sneha"/>
    <s v="Corporate"/>
    <n v="1"/>
    <n v="11703"/>
    <n v="10"/>
    <n v="10532.7"/>
    <n v="1279.3599999999999"/>
  </r>
  <r>
    <s v="ORD00771"/>
    <s v="2025-04-13"/>
    <x v="2"/>
    <x v="0"/>
    <s v="Odisha"/>
    <s v="Bhubaneswar"/>
    <x v="0"/>
    <s v="Sofa"/>
    <s v="Sofa"/>
    <s v="Priya"/>
    <s v="Corporate"/>
    <n v="4"/>
    <n v="7364"/>
    <n v="0"/>
    <n v="29456"/>
    <n v="8695.1"/>
  </r>
  <r>
    <s v="ORD00772"/>
    <s v="2025-09-23"/>
    <x v="10"/>
    <x v="1"/>
    <s v="Karnataka"/>
    <s v="Bengaluru"/>
    <x v="0"/>
    <s v="Chair"/>
    <s v="Chair"/>
    <s v="Rahul"/>
    <s v="Retail"/>
    <n v="3"/>
    <n v="25156"/>
    <n v="5"/>
    <n v="71694.600000000006"/>
    <n v="16734.97"/>
  </r>
  <r>
    <s v="ORD00773"/>
    <s v="2026-01-16"/>
    <x v="4"/>
    <x v="1"/>
    <s v="Karnataka"/>
    <s v="Bengaluru"/>
    <x v="1"/>
    <s v="Keyboard"/>
    <s v="Keyboard"/>
    <s v="Vicky"/>
    <s v="Corporate"/>
    <n v="9"/>
    <n v="36536"/>
    <n v="0"/>
    <n v="328824"/>
    <n v="25213.7"/>
  </r>
  <r>
    <s v="ORD00774"/>
    <s v="2025-08-24"/>
    <x v="8"/>
    <x v="0"/>
    <s v="Odisha"/>
    <s v="Bhubaneswar"/>
    <x v="1"/>
    <s v="Mobile"/>
    <s v="Mobile"/>
    <s v="Sneha"/>
    <s v="Corporate"/>
    <n v="5"/>
    <n v="46233"/>
    <n v="10"/>
    <n v="208048.5"/>
    <n v="26656.49"/>
  </r>
  <r>
    <s v="ORD00775"/>
    <s v="2025-01-19"/>
    <x v="4"/>
    <x v="0"/>
    <s v="West Bengal"/>
    <s v="Kolkata"/>
    <x v="1"/>
    <s v="Mobile"/>
    <s v="Mobile"/>
    <s v="Meena"/>
    <s v="Retail"/>
    <n v="5"/>
    <n v="33120"/>
    <n v="20"/>
    <n v="132480"/>
    <n v="29593.86"/>
  </r>
  <r>
    <s v="ORD00776"/>
    <s v="2026-03-16"/>
    <x v="0"/>
    <x v="0"/>
    <s v="West Bengal"/>
    <s v="Kolkata"/>
    <x v="0"/>
    <s v="Desk"/>
    <s v="Desk"/>
    <s v="Rahul"/>
    <s v="Corporate"/>
    <n v="5"/>
    <n v="37617"/>
    <n v="0"/>
    <n v="188085"/>
    <n v="39439.35"/>
  </r>
  <r>
    <s v="ORD00777"/>
    <s v="2025-08-02"/>
    <x v="8"/>
    <x v="0"/>
    <s v="Odisha"/>
    <s v="Bhubaneswar"/>
    <x v="2"/>
    <s v="Notebook"/>
    <s v="Notebook"/>
    <s v="Priya"/>
    <s v="Corporate"/>
    <n v="8"/>
    <n v="42418"/>
    <n v="20"/>
    <n v="271475.20000000001"/>
    <n v="77262.06"/>
  </r>
  <r>
    <s v="ORD00778"/>
    <s v="2025-10-31"/>
    <x v="11"/>
    <x v="1"/>
    <s v="Tamil Nadu"/>
    <s v="Chennai"/>
    <x v="2"/>
    <s v="Pen"/>
    <s v="Pen"/>
    <s v="Vicky"/>
    <s v="Corporate"/>
    <n v="3"/>
    <n v="48110"/>
    <n v="5"/>
    <n v="137113.5"/>
    <n v="7107.95"/>
  </r>
  <r>
    <s v="ORD00779"/>
    <s v="2026-05-21"/>
    <x v="6"/>
    <x v="3"/>
    <s v="Maharashtra"/>
    <s v="Mumbai"/>
    <x v="0"/>
    <s v="Desk"/>
    <s v="Desk"/>
    <s v="Sneha"/>
    <s v="Retail"/>
    <n v="8"/>
    <n v="26200"/>
    <n v="15"/>
    <n v="178160"/>
    <n v="30265.14"/>
  </r>
  <r>
    <s v="ORD00780"/>
    <s v="2025-10-17"/>
    <x v="11"/>
    <x v="0"/>
    <s v="Odisha"/>
    <s v="Bhubaneswar"/>
    <x v="0"/>
    <s v="Table"/>
    <s v="Table"/>
    <s v="Amit"/>
    <s v="Corporate"/>
    <n v="3"/>
    <n v="1477"/>
    <n v="0"/>
    <n v="4431"/>
    <n v="792.23"/>
  </r>
  <r>
    <s v="ORD00781"/>
    <s v="2025-07-05"/>
    <x v="5"/>
    <x v="2"/>
    <s v="Delhi"/>
    <s v="Delhi"/>
    <x v="1"/>
    <s v="Keyboard"/>
    <s v="Keyboard"/>
    <s v="Rahul"/>
    <s v="Retail"/>
    <n v="6"/>
    <n v="35403"/>
    <n v="5"/>
    <n v="201797.1"/>
    <n v="49061.78"/>
  </r>
  <r>
    <s v="ORD00782"/>
    <s v="2025-05-19"/>
    <x v="6"/>
    <x v="1"/>
    <s v="Tamil Nadu"/>
    <s v="Chennai"/>
    <x v="1"/>
    <s v="Keyboard"/>
    <s v="Keyboard"/>
    <s v="Arun"/>
    <s v="Retail"/>
    <n v="8"/>
    <n v="14920"/>
    <n v="5"/>
    <n v="113392"/>
    <n v="22311.24"/>
  </r>
  <r>
    <s v="ORD00783"/>
    <s v="2025-03-28"/>
    <x v="0"/>
    <x v="3"/>
    <s v="Maharashtra"/>
    <s v="Mumbai"/>
    <x v="1"/>
    <s v="Keyboard"/>
    <s v="Keyboard"/>
    <s v="Meena"/>
    <s v="Corporate"/>
    <n v="2"/>
    <n v="19332"/>
    <n v="0"/>
    <n v="38664"/>
    <n v="6057.77"/>
  </r>
  <r>
    <s v="ORD00784"/>
    <s v="2025-06-13"/>
    <x v="1"/>
    <x v="1"/>
    <s v="Karnataka"/>
    <s v="Bengaluru"/>
    <x v="2"/>
    <s v="Pen"/>
    <s v="Pen"/>
    <s v="John"/>
    <s v="Retail"/>
    <n v="7"/>
    <n v="10782"/>
    <n v="15"/>
    <n v="64152.9"/>
    <n v="5170.9399999999996"/>
  </r>
  <r>
    <s v="ORD00785"/>
    <s v="2025-07-21"/>
    <x v="5"/>
    <x v="1"/>
    <s v="Karnataka"/>
    <s v="Bengaluru"/>
    <x v="1"/>
    <s v="Mobile"/>
    <s v="Mobile"/>
    <s v="Arun"/>
    <s v="Corporate"/>
    <n v="4"/>
    <n v="7425"/>
    <n v="15"/>
    <n v="25245"/>
    <n v="2364.83"/>
  </r>
  <r>
    <s v="ORD00786"/>
    <s v="2026-05-27"/>
    <x v="6"/>
    <x v="2"/>
    <s v="Chandigarh"/>
    <s v="Chandigarh"/>
    <x v="2"/>
    <s v="Notebook"/>
    <s v="Notebook"/>
    <s v="Priya"/>
    <s v="Retail"/>
    <n v="5"/>
    <n v="14126"/>
    <n v="5"/>
    <n v="67098.5"/>
    <n v="7698.23"/>
  </r>
  <r>
    <s v="ORD00787"/>
    <s v="2025-04-08"/>
    <x v="2"/>
    <x v="0"/>
    <s v="Odisha"/>
    <s v="Bhubaneswar"/>
    <x v="1"/>
    <s v="Monitor"/>
    <s v="Monitor"/>
    <s v="Amit"/>
    <s v="Corporate"/>
    <n v="6"/>
    <n v="12541"/>
    <n v="5"/>
    <n v="71483.7"/>
    <n v="5992.18"/>
  </r>
  <r>
    <s v="ORD00788"/>
    <s v="2025-09-13"/>
    <x v="10"/>
    <x v="2"/>
    <s v="Chandigarh"/>
    <s v="Chandigarh"/>
    <x v="0"/>
    <s v="Table"/>
    <s v="Table"/>
    <s v="Arun"/>
    <s v="Retail"/>
    <n v="2"/>
    <n v="11403"/>
    <n v="15"/>
    <n v="19385.099999999999"/>
    <n v="2915.93"/>
  </r>
  <r>
    <s v="ORD00789"/>
    <s v="2025-09-04"/>
    <x v="10"/>
    <x v="2"/>
    <s v="Delhi"/>
    <s v="Delhi"/>
    <x v="1"/>
    <s v="Laptop"/>
    <s v="Laptop"/>
    <s v="Rahul"/>
    <s v="Corporate"/>
    <n v="7"/>
    <n v="30024"/>
    <n v="0"/>
    <n v="210168"/>
    <n v="59756.160000000003"/>
  </r>
  <r>
    <s v="ORD00790"/>
    <s v="2025-10-23"/>
    <x v="11"/>
    <x v="3"/>
    <s v="Gujarat"/>
    <s v="Ahmedabad"/>
    <x v="0"/>
    <s v="Sofa"/>
    <s v="Sofa"/>
    <s v="Priya"/>
    <s v="Corporate"/>
    <n v="5"/>
    <n v="8887"/>
    <n v="15"/>
    <n v="37769.75"/>
    <n v="3593.37"/>
  </r>
  <r>
    <s v="ORD00791"/>
    <s v="2025-04-07"/>
    <x v="2"/>
    <x v="1"/>
    <s v="Tamil Nadu"/>
    <s v="Chennai"/>
    <x v="1"/>
    <s v="Monitor"/>
    <s v="Monitor"/>
    <s v="Arun"/>
    <s v="Retail"/>
    <n v="1"/>
    <n v="10412"/>
    <n v="10"/>
    <n v="9370.7999999999993"/>
    <n v="1893.65"/>
  </r>
  <r>
    <s v="ORD00792"/>
    <s v="2026-03-20"/>
    <x v="0"/>
    <x v="3"/>
    <s v="Maharashtra"/>
    <s v="Mumbai"/>
    <x v="2"/>
    <s v="Pen"/>
    <s v="Pen"/>
    <s v="Amit"/>
    <s v="Retail"/>
    <n v="1"/>
    <n v="35044"/>
    <n v="0"/>
    <n v="35044"/>
    <n v="8026.83"/>
  </r>
  <r>
    <s v="ORD00793"/>
    <s v="2026-01-06"/>
    <x v="4"/>
    <x v="3"/>
    <s v="Maharashtra"/>
    <s v="Mumbai"/>
    <x v="1"/>
    <s v="Monitor"/>
    <s v="Monitor"/>
    <s v="Sneha"/>
    <s v="Corporate"/>
    <n v="4"/>
    <n v="21861"/>
    <n v="5"/>
    <n v="83071.8"/>
    <n v="19695.490000000002"/>
  </r>
  <r>
    <s v="ORD00794"/>
    <s v="2025-01-13"/>
    <x v="4"/>
    <x v="2"/>
    <s v="Chandigarh"/>
    <s v="Chandigarh"/>
    <x v="0"/>
    <s v="Table"/>
    <s v="Table"/>
    <s v="Arun"/>
    <s v="Retail"/>
    <n v="3"/>
    <n v="14926"/>
    <n v="15"/>
    <n v="38061.300000000003"/>
    <n v="2518.15"/>
  </r>
  <r>
    <s v="ORD00795"/>
    <s v="2025-08-29"/>
    <x v="8"/>
    <x v="2"/>
    <s v="Delhi"/>
    <s v="Delhi"/>
    <x v="2"/>
    <s v="Printer Paper"/>
    <s v="Printer Paper"/>
    <s v="Rahul"/>
    <s v="Corporate"/>
    <n v="4"/>
    <n v="45533"/>
    <n v="20"/>
    <n v="145705.60000000001"/>
    <n v="34632.94"/>
  </r>
  <r>
    <s v="ORD00796"/>
    <s v="2026-04-15"/>
    <x v="2"/>
    <x v="2"/>
    <s v="Delhi"/>
    <s v="Delhi"/>
    <x v="2"/>
    <s v="Printer Paper"/>
    <s v="Printer Paper"/>
    <s v="John"/>
    <s v="Corporate"/>
    <n v="5"/>
    <n v="34451"/>
    <n v="0"/>
    <n v="172255"/>
    <n v="9890.5499999999993"/>
  </r>
  <r>
    <s v="ORD00797"/>
    <s v="2025-08-26"/>
    <x v="8"/>
    <x v="2"/>
    <s v="Delhi"/>
    <s v="Delhi"/>
    <x v="1"/>
    <s v="Laptop"/>
    <s v="Laptop"/>
    <s v="John"/>
    <s v="Retail"/>
    <n v="2"/>
    <n v="45793"/>
    <n v="20"/>
    <n v="73268.800000000003"/>
    <n v="20682.650000000001"/>
  </r>
  <r>
    <s v="ORD00798"/>
    <s v="2026-05-13"/>
    <x v="6"/>
    <x v="2"/>
    <s v="Chandigarh"/>
    <s v="Chandigarh"/>
    <x v="0"/>
    <s v="Table"/>
    <s v="Table"/>
    <s v="John"/>
    <s v="Corporate"/>
    <n v="8"/>
    <n v="16814"/>
    <n v="10"/>
    <n v="121060.8"/>
    <n v="13187.98"/>
  </r>
  <r>
    <s v="ORD00799"/>
    <s v="2025-10-20"/>
    <x v="11"/>
    <x v="3"/>
    <s v="Maharashtra"/>
    <s v="Mumbai"/>
    <x v="0"/>
    <s v="Sofa"/>
    <s v="Sofa"/>
    <s v="Sneha"/>
    <s v="Retail"/>
    <n v="4"/>
    <n v="3996"/>
    <n v="10"/>
    <n v="14385.6"/>
    <n v="3503.4"/>
  </r>
  <r>
    <s v="ORD00800"/>
    <s v="2025-03-23"/>
    <x v="0"/>
    <x v="0"/>
    <s v="Odisha"/>
    <s v="Bhubaneswar"/>
    <x v="2"/>
    <s v="Notebook"/>
    <s v="Notebook"/>
    <s v="Meena"/>
    <s v="Retail"/>
    <n v="2"/>
    <n v="26985"/>
    <n v="15"/>
    <n v="45874.5"/>
    <n v="10774.22"/>
  </r>
  <r>
    <s v="ORD00801"/>
    <s v="2026-05-13"/>
    <x v="6"/>
    <x v="3"/>
    <s v="Gujarat"/>
    <s v="Ahmedabad"/>
    <x v="0"/>
    <s v="Sofa"/>
    <s v="Sofa"/>
    <s v="Rahul"/>
    <s v="Corporate"/>
    <n v="8"/>
    <n v="3681"/>
    <n v="0"/>
    <n v="29448"/>
    <n v="4433.1499999999996"/>
  </r>
  <r>
    <s v="ORD00802"/>
    <s v="2026-06-18"/>
    <x v="1"/>
    <x v="3"/>
    <s v="Gujarat"/>
    <s v="Ahmedabad"/>
    <x v="1"/>
    <s v="Laptop"/>
    <s v="Laptop"/>
    <s v="Vicky"/>
    <s v="Corporate"/>
    <n v="9"/>
    <n v="14166"/>
    <n v="10"/>
    <n v="114744.6"/>
    <n v="31591.81"/>
  </r>
  <r>
    <s v="ORD00803"/>
    <s v="2025-11-21"/>
    <x v="7"/>
    <x v="1"/>
    <s v="Tamil Nadu"/>
    <s v="Chennai"/>
    <x v="0"/>
    <s v="Chair"/>
    <s v="Chair"/>
    <s v="Priya"/>
    <s v="Corporate"/>
    <n v="3"/>
    <n v="27951"/>
    <n v="20"/>
    <n v="67082.399999999994"/>
    <n v="8063.92"/>
  </r>
  <r>
    <s v="ORD00804"/>
    <s v="2025-12-03"/>
    <x v="3"/>
    <x v="1"/>
    <s v="Karnataka"/>
    <s v="Bengaluru"/>
    <x v="0"/>
    <s v="Chair"/>
    <s v="Chair"/>
    <s v="Amit"/>
    <s v="Retail"/>
    <n v="7"/>
    <n v="38643"/>
    <n v="15"/>
    <n v="229925.85"/>
    <n v="58784.47"/>
  </r>
  <r>
    <s v="ORD00805"/>
    <s v="2026-01-10"/>
    <x v="4"/>
    <x v="0"/>
    <s v="West Bengal"/>
    <s v="Kolkata"/>
    <x v="2"/>
    <s v="Printer Paper"/>
    <s v="Printer Paper"/>
    <s v="Amit"/>
    <s v="Retail"/>
    <n v="8"/>
    <n v="47575"/>
    <n v="15"/>
    <n v="323510"/>
    <n v="82258.490000000005"/>
  </r>
  <r>
    <s v="ORD00806"/>
    <s v="2025-07-12"/>
    <x v="5"/>
    <x v="3"/>
    <s v="Maharashtra"/>
    <s v="Mumbai"/>
    <x v="0"/>
    <s v="Table"/>
    <s v="Table"/>
    <s v="Rahul"/>
    <s v="Corporate"/>
    <n v="8"/>
    <n v="15983"/>
    <n v="10"/>
    <n v="115077.6"/>
    <n v="28356.95"/>
  </r>
  <r>
    <s v="ORD00807"/>
    <s v="2025-10-12"/>
    <x v="11"/>
    <x v="0"/>
    <s v="West Bengal"/>
    <s v="Kolkata"/>
    <x v="1"/>
    <s v="Laptop"/>
    <s v="Laptop"/>
    <s v="Meena"/>
    <s v="Corporate"/>
    <n v="8"/>
    <n v="36014"/>
    <n v="5"/>
    <n v="273706.40000000002"/>
    <n v="73239.09"/>
  </r>
  <r>
    <s v="ORD00808"/>
    <s v="2025-11-04"/>
    <x v="7"/>
    <x v="0"/>
    <s v="West Bengal"/>
    <s v="Kolkata"/>
    <x v="1"/>
    <s v="Monitor"/>
    <s v="Monitor"/>
    <s v="John"/>
    <s v="Corporate"/>
    <n v="1"/>
    <n v="16874"/>
    <n v="10"/>
    <n v="15186.6"/>
    <n v="3566.14"/>
  </r>
  <r>
    <s v="ORD00809"/>
    <s v="2026-04-11"/>
    <x v="2"/>
    <x v="1"/>
    <s v="Tamil Nadu"/>
    <s v="Chennai"/>
    <x v="0"/>
    <s v="Table"/>
    <s v="Table"/>
    <s v="Arun"/>
    <s v="Retail"/>
    <n v="4"/>
    <n v="25394"/>
    <n v="0"/>
    <n v="101576"/>
    <n v="9341.9500000000007"/>
  </r>
  <r>
    <s v="ORD00810"/>
    <s v="2026-05-07"/>
    <x v="6"/>
    <x v="0"/>
    <s v="West Bengal"/>
    <s v="Kolkata"/>
    <x v="2"/>
    <s v="Notebook"/>
    <s v="Notebook"/>
    <s v="Sneha"/>
    <s v="Corporate"/>
    <n v="2"/>
    <n v="34741"/>
    <n v="5"/>
    <n v="66007.899999999994"/>
    <n v="13876.65"/>
  </r>
  <r>
    <s v="ORD00811"/>
    <s v="2026-05-25"/>
    <x v="6"/>
    <x v="0"/>
    <s v="Odisha"/>
    <s v="Bhubaneswar"/>
    <x v="1"/>
    <s v="Laptop"/>
    <s v="Laptop"/>
    <s v="John"/>
    <s v="Retail"/>
    <n v="10"/>
    <n v="5676"/>
    <n v="0"/>
    <n v="56760"/>
    <n v="7481.3"/>
  </r>
  <r>
    <s v="ORD00812"/>
    <s v="2025-11-17"/>
    <x v="7"/>
    <x v="3"/>
    <s v="Maharashtra"/>
    <s v="Mumbai"/>
    <x v="2"/>
    <s v="Notebook"/>
    <s v="Notebook"/>
    <s v="Rahul"/>
    <s v="Retail"/>
    <n v="9"/>
    <n v="35494"/>
    <n v="10"/>
    <n v="287501.40000000002"/>
    <n v="55008.79"/>
  </r>
  <r>
    <s v="ORD00813"/>
    <s v="2025-08-12"/>
    <x v="8"/>
    <x v="2"/>
    <s v="Delhi"/>
    <s v="Delhi"/>
    <x v="2"/>
    <s v="Notebook"/>
    <s v="Notebook"/>
    <s v="Arun"/>
    <s v="Retail"/>
    <n v="2"/>
    <n v="36533"/>
    <n v="15"/>
    <n v="62106.1"/>
    <n v="14071.46"/>
  </r>
  <r>
    <s v="ORD00814"/>
    <s v="2025-12-28"/>
    <x v="3"/>
    <x v="2"/>
    <s v="Chandigarh"/>
    <s v="Chandigarh"/>
    <x v="0"/>
    <s v="Table"/>
    <s v="Table"/>
    <s v="Priya"/>
    <s v="Retail"/>
    <n v="5"/>
    <n v="47903"/>
    <n v="15"/>
    <n v="203587.75"/>
    <n v="23616.65"/>
  </r>
  <r>
    <s v="ORD00815"/>
    <s v="2026-02-27"/>
    <x v="9"/>
    <x v="3"/>
    <s v="Gujarat"/>
    <s v="Ahmedabad"/>
    <x v="2"/>
    <s v="Pen"/>
    <s v="Pen"/>
    <s v="John"/>
    <s v="Retail"/>
    <n v="6"/>
    <n v="18194"/>
    <n v="5"/>
    <n v="103705.8"/>
    <n v="25696.1"/>
  </r>
  <r>
    <s v="ORD00816"/>
    <s v="2025-10-20"/>
    <x v="11"/>
    <x v="3"/>
    <s v="Maharashtra"/>
    <s v="Mumbai"/>
    <x v="1"/>
    <s v="Mobile"/>
    <s v="Mobile"/>
    <s v="Vicky"/>
    <s v="Retail"/>
    <n v="8"/>
    <n v="10406"/>
    <n v="10"/>
    <n v="74923.199999999997"/>
    <n v="17454.11"/>
  </r>
  <r>
    <s v="ORD00817"/>
    <s v="2025-05-30"/>
    <x v="6"/>
    <x v="3"/>
    <s v="Gujarat"/>
    <s v="Ahmedabad"/>
    <x v="0"/>
    <s v="Chair"/>
    <s v="Chair"/>
    <s v="Rahul"/>
    <s v="Retail"/>
    <n v="4"/>
    <n v="19158"/>
    <n v="15"/>
    <n v="65137.2"/>
    <n v="5038.79"/>
  </r>
  <r>
    <s v="ORD00818"/>
    <s v="2025-04-06"/>
    <x v="2"/>
    <x v="0"/>
    <s v="West Bengal"/>
    <s v="Kolkata"/>
    <x v="2"/>
    <s v="Printer Paper"/>
    <s v="Printer Paper"/>
    <s v="Rahul"/>
    <s v="Retail"/>
    <n v="10"/>
    <n v="4206"/>
    <n v="20"/>
    <n v="33648"/>
    <n v="5392.23"/>
  </r>
  <r>
    <s v="ORD00819"/>
    <s v="2026-02-19"/>
    <x v="9"/>
    <x v="2"/>
    <s v="Chandigarh"/>
    <s v="Chandigarh"/>
    <x v="2"/>
    <s v="Printer Paper"/>
    <s v="Printer Paper"/>
    <s v="Amit"/>
    <s v="Corporate"/>
    <n v="4"/>
    <n v="26228"/>
    <n v="20"/>
    <n v="83929.600000000006"/>
    <n v="23569.8"/>
  </r>
  <r>
    <s v="ORD00820"/>
    <s v="2025-11-14"/>
    <x v="7"/>
    <x v="0"/>
    <s v="West Bengal"/>
    <s v="Kolkata"/>
    <x v="2"/>
    <s v="Notebook"/>
    <s v="Notebook"/>
    <s v="Vicky"/>
    <s v="Retail"/>
    <n v="4"/>
    <n v="47378"/>
    <n v="10"/>
    <n v="170560.8"/>
    <n v="49417.13"/>
  </r>
  <r>
    <s v="ORD00821"/>
    <s v="2025-11-24"/>
    <x v="7"/>
    <x v="3"/>
    <s v="Maharashtra"/>
    <s v="Mumbai"/>
    <x v="2"/>
    <s v="Pen"/>
    <s v="Pen"/>
    <s v="Meena"/>
    <s v="Corporate"/>
    <n v="5"/>
    <n v="49191"/>
    <n v="15"/>
    <n v="209061.75"/>
    <n v="15235.61"/>
  </r>
  <r>
    <s v="ORD00822"/>
    <s v="2026-03-08"/>
    <x v="0"/>
    <x v="2"/>
    <s v="Delhi"/>
    <s v="Delhi"/>
    <x v="0"/>
    <s v="Chair"/>
    <s v="Chair"/>
    <s v="Meena"/>
    <s v="Retail"/>
    <n v="1"/>
    <n v="24774"/>
    <n v="10"/>
    <n v="22296.6"/>
    <n v="4019.27"/>
  </r>
  <r>
    <s v="ORD00823"/>
    <s v="2025-09-12"/>
    <x v="10"/>
    <x v="2"/>
    <s v="Delhi"/>
    <s v="Delhi"/>
    <x v="2"/>
    <s v="Pen"/>
    <s v="Pen"/>
    <s v="Sneha"/>
    <s v="Corporate"/>
    <n v="4"/>
    <n v="7216"/>
    <n v="15"/>
    <n v="24534.400000000001"/>
    <n v="5934.01"/>
  </r>
  <r>
    <s v="ORD00824"/>
    <s v="2025-10-01"/>
    <x v="11"/>
    <x v="0"/>
    <s v="West Bengal"/>
    <s v="Kolkata"/>
    <x v="1"/>
    <s v="Laptop"/>
    <s v="Laptop"/>
    <s v="Meena"/>
    <s v="Retail"/>
    <n v="6"/>
    <n v="42324"/>
    <n v="15"/>
    <n v="215852.4"/>
    <n v="55293.52"/>
  </r>
  <r>
    <s v="ORD00825"/>
    <s v="2026-04-12"/>
    <x v="2"/>
    <x v="1"/>
    <s v="Karnataka"/>
    <s v="Bengaluru"/>
    <x v="1"/>
    <s v="Laptop"/>
    <s v="Laptop"/>
    <s v="Meena"/>
    <s v="Corporate"/>
    <n v="2"/>
    <n v="14008"/>
    <n v="15"/>
    <n v="23813.599999999999"/>
    <n v="4111.6000000000004"/>
  </r>
  <r>
    <s v="ORD00826"/>
    <s v="2025-02-11"/>
    <x v="9"/>
    <x v="3"/>
    <s v="Gujarat"/>
    <s v="Ahmedabad"/>
    <x v="0"/>
    <s v="Sofa"/>
    <s v="Sofa"/>
    <s v="Rahul"/>
    <s v="Corporate"/>
    <n v="2"/>
    <n v="3016"/>
    <n v="15"/>
    <n v="5127.2"/>
    <n v="1016.11"/>
  </r>
  <r>
    <s v="ORD00827"/>
    <s v="2026-04-29"/>
    <x v="2"/>
    <x v="2"/>
    <s v="Delhi"/>
    <s v="Delhi"/>
    <x v="1"/>
    <s v="Keyboard"/>
    <s v="Keyboard"/>
    <s v="Meena"/>
    <s v="Retail"/>
    <n v="1"/>
    <n v="41470"/>
    <n v="10"/>
    <n v="37323"/>
    <n v="7649.84"/>
  </r>
  <r>
    <s v="ORD00828"/>
    <s v="2025-12-25"/>
    <x v="3"/>
    <x v="1"/>
    <s v="Karnataka"/>
    <s v="Bengaluru"/>
    <x v="2"/>
    <s v="Printer Paper"/>
    <s v="Printer Paper"/>
    <s v="Priya"/>
    <s v="Corporate"/>
    <n v="3"/>
    <n v="17988"/>
    <n v="0"/>
    <n v="53964"/>
    <n v="10961.29"/>
  </r>
  <r>
    <s v="ORD00829"/>
    <s v="2025-09-03"/>
    <x v="10"/>
    <x v="0"/>
    <s v="West Bengal"/>
    <s v="Kolkata"/>
    <x v="0"/>
    <s v="Desk"/>
    <s v="Desk"/>
    <s v="Priya"/>
    <s v="Retail"/>
    <n v="1"/>
    <n v="40004"/>
    <n v="5"/>
    <n v="38003.800000000003"/>
    <n v="8251.57"/>
  </r>
  <r>
    <s v="ORD00830"/>
    <s v="2026-01-02"/>
    <x v="4"/>
    <x v="3"/>
    <s v="Gujarat"/>
    <s v="Ahmedabad"/>
    <x v="1"/>
    <s v="Laptop"/>
    <s v="Laptop"/>
    <s v="Meena"/>
    <s v="Corporate"/>
    <n v="9"/>
    <n v="14777"/>
    <n v="10"/>
    <n v="119693.7"/>
    <n v="28247.18"/>
  </r>
  <r>
    <s v="ORD00831"/>
    <s v="2025-01-19"/>
    <x v="4"/>
    <x v="1"/>
    <s v="Karnataka"/>
    <s v="Bengaluru"/>
    <x v="2"/>
    <s v="Notebook"/>
    <s v="Notebook"/>
    <s v="Vicky"/>
    <s v="Retail"/>
    <n v="10"/>
    <n v="2074"/>
    <n v="15"/>
    <n v="17629"/>
    <n v="3855.8"/>
  </r>
  <r>
    <s v="ORD00832"/>
    <s v="2025-09-15"/>
    <x v="10"/>
    <x v="3"/>
    <s v="Gujarat"/>
    <s v="Ahmedabad"/>
    <x v="1"/>
    <s v="Keyboard"/>
    <s v="Keyboard"/>
    <s v="Priya"/>
    <s v="Corporate"/>
    <n v="9"/>
    <n v="38019"/>
    <n v="5"/>
    <n v="325062.45"/>
    <n v="95119.07"/>
  </r>
  <r>
    <s v="ORD00833"/>
    <s v="2025-10-20"/>
    <x v="11"/>
    <x v="1"/>
    <s v="Tamil Nadu"/>
    <s v="Chennai"/>
    <x v="1"/>
    <s v="Monitor"/>
    <s v="Monitor"/>
    <s v="John"/>
    <s v="Retail"/>
    <n v="10"/>
    <n v="15062"/>
    <n v="5"/>
    <n v="143089"/>
    <n v="16422.740000000002"/>
  </r>
  <r>
    <s v="ORD00834"/>
    <s v="2025-05-30"/>
    <x v="6"/>
    <x v="0"/>
    <s v="West Bengal"/>
    <s v="Kolkata"/>
    <x v="2"/>
    <s v="Printer Paper"/>
    <s v="Printer Paper"/>
    <s v="Sneha"/>
    <s v="Corporate"/>
    <n v="8"/>
    <n v="10929"/>
    <n v="0"/>
    <n v="87432"/>
    <n v="5560.78"/>
  </r>
  <r>
    <s v="ORD00835"/>
    <s v="2026-05-30"/>
    <x v="6"/>
    <x v="2"/>
    <s v="Chandigarh"/>
    <s v="Chandigarh"/>
    <x v="0"/>
    <s v="Table"/>
    <s v="Table"/>
    <s v="Vicky"/>
    <s v="Retail"/>
    <n v="10"/>
    <n v="8182"/>
    <n v="10"/>
    <n v="73638"/>
    <n v="6386.9"/>
  </r>
  <r>
    <s v="ORD00836"/>
    <s v="2026-01-04"/>
    <x v="4"/>
    <x v="2"/>
    <s v="Chandigarh"/>
    <s v="Chandigarh"/>
    <x v="0"/>
    <s v="Chair"/>
    <s v="Chair"/>
    <s v="Vicky"/>
    <s v="Retail"/>
    <n v="3"/>
    <n v="24006"/>
    <n v="20"/>
    <n v="57614.400000000001"/>
    <n v="7443.42"/>
  </r>
  <r>
    <s v="ORD00837"/>
    <s v="2025-12-09"/>
    <x v="3"/>
    <x v="2"/>
    <s v="Chandigarh"/>
    <s v="Chandigarh"/>
    <x v="2"/>
    <s v="Pen"/>
    <s v="Pen"/>
    <s v="Meena"/>
    <s v="Retail"/>
    <n v="6"/>
    <n v="8374"/>
    <n v="0"/>
    <n v="50244"/>
    <n v="11323.37"/>
  </r>
  <r>
    <s v="ORD00838"/>
    <s v="2025-03-03"/>
    <x v="0"/>
    <x v="1"/>
    <s v="Karnataka"/>
    <s v="Bengaluru"/>
    <x v="0"/>
    <s v="Table"/>
    <s v="Table"/>
    <s v="Arun"/>
    <s v="Retail"/>
    <n v="6"/>
    <n v="9105"/>
    <n v="10"/>
    <n v="49167"/>
    <n v="11038.82"/>
  </r>
  <r>
    <s v="ORD00839"/>
    <s v="2025-03-31"/>
    <x v="0"/>
    <x v="3"/>
    <s v="Gujarat"/>
    <s v="Ahmedabad"/>
    <x v="2"/>
    <s v="Stapler"/>
    <s v="Stapler"/>
    <s v="Vicky"/>
    <s v="Retail"/>
    <n v="6"/>
    <n v="17809"/>
    <n v="5"/>
    <n v="101511.3"/>
    <n v="14029.16"/>
  </r>
  <r>
    <s v="ORD00840"/>
    <s v="2025-11-16"/>
    <x v="7"/>
    <x v="1"/>
    <s v="Tamil Nadu"/>
    <s v="Chennai"/>
    <x v="2"/>
    <s v="Stapler"/>
    <s v="Stapler"/>
    <s v="Sneha"/>
    <s v="Retail"/>
    <n v="8"/>
    <n v="10360"/>
    <n v="5"/>
    <n v="78736"/>
    <n v="5021.47"/>
  </r>
  <r>
    <s v="ORD00841"/>
    <s v="2025-10-14"/>
    <x v="11"/>
    <x v="2"/>
    <s v="Delhi"/>
    <s v="Delhi"/>
    <x v="0"/>
    <s v="Sofa"/>
    <s v="Sofa"/>
    <s v="Meena"/>
    <s v="Retail"/>
    <n v="6"/>
    <n v="44205"/>
    <n v="15"/>
    <n v="225445.5"/>
    <n v="67178.25"/>
  </r>
  <r>
    <s v="ORD00842"/>
    <s v="2026-05-17"/>
    <x v="6"/>
    <x v="0"/>
    <s v="West Bengal"/>
    <s v="Kolkata"/>
    <x v="2"/>
    <s v="Printer Paper"/>
    <s v="Printer Paper"/>
    <s v="Priya"/>
    <s v="Retail"/>
    <n v="2"/>
    <n v="36684"/>
    <n v="5"/>
    <n v="69699.600000000006"/>
    <n v="7938.68"/>
  </r>
  <r>
    <s v="ORD00843"/>
    <s v="2026-05-30"/>
    <x v="6"/>
    <x v="3"/>
    <s v="Gujarat"/>
    <s v="Ahmedabad"/>
    <x v="1"/>
    <s v="Monitor"/>
    <s v="Monitor"/>
    <s v="Sneha"/>
    <s v="Retail"/>
    <n v="6"/>
    <n v="23925"/>
    <n v="10"/>
    <n v="129195"/>
    <n v="19216.810000000001"/>
  </r>
  <r>
    <s v="ORD00844"/>
    <s v="2026-05-12"/>
    <x v="6"/>
    <x v="1"/>
    <s v="Tamil Nadu"/>
    <s v="Chennai"/>
    <x v="2"/>
    <s v="Pen"/>
    <s v="Pen"/>
    <s v="John"/>
    <s v="Retail"/>
    <n v="5"/>
    <n v="39801"/>
    <n v="0"/>
    <n v="199005"/>
    <n v="49363.49"/>
  </r>
  <r>
    <s v="ORD00845"/>
    <s v="2026-01-02"/>
    <x v="4"/>
    <x v="2"/>
    <s v="Delhi"/>
    <s v="Delhi"/>
    <x v="1"/>
    <s v="Keyboard"/>
    <s v="Keyboard"/>
    <s v="Rahul"/>
    <s v="Retail"/>
    <n v="8"/>
    <n v="35554"/>
    <n v="15"/>
    <n v="241767.2"/>
    <n v="40449.120000000003"/>
  </r>
  <r>
    <s v="ORD00846"/>
    <s v="2025-09-23"/>
    <x v="10"/>
    <x v="2"/>
    <s v="Delhi"/>
    <s v="Delhi"/>
    <x v="1"/>
    <s v="Monitor"/>
    <s v="Monitor"/>
    <s v="John"/>
    <s v="Retail"/>
    <n v="1"/>
    <n v="44952"/>
    <n v="15"/>
    <n v="38209.199999999997"/>
    <n v="5394.65"/>
  </r>
  <r>
    <s v="ORD00847"/>
    <s v="2025-07-27"/>
    <x v="5"/>
    <x v="3"/>
    <s v="Gujarat"/>
    <s v="Ahmedabad"/>
    <x v="2"/>
    <s v="Pen"/>
    <s v="Pen"/>
    <s v="Priya"/>
    <s v="Corporate"/>
    <n v="9"/>
    <n v="3692"/>
    <n v="15"/>
    <n v="28243.8"/>
    <n v="6976.66"/>
  </r>
  <r>
    <s v="ORD00848"/>
    <s v="2025-09-15"/>
    <x v="10"/>
    <x v="1"/>
    <s v="Karnataka"/>
    <s v="Bengaluru"/>
    <x v="2"/>
    <s v="Printer Paper"/>
    <s v="Printer Paper"/>
    <s v="Amit"/>
    <s v="Corporate"/>
    <n v="7"/>
    <n v="36830"/>
    <n v="20"/>
    <n v="206248"/>
    <n v="39371.46"/>
  </r>
  <r>
    <s v="ORD00849"/>
    <s v="2025-05-05"/>
    <x v="6"/>
    <x v="1"/>
    <s v="Tamil Nadu"/>
    <s v="Chennai"/>
    <x v="1"/>
    <s v="Mobile"/>
    <s v="Mobile"/>
    <s v="Amit"/>
    <s v="Corporate"/>
    <n v="7"/>
    <n v="25965"/>
    <n v="10"/>
    <n v="163579.5"/>
    <n v="39216.959999999999"/>
  </r>
  <r>
    <s v="ORD00850"/>
    <s v="2025-01-07"/>
    <x v="4"/>
    <x v="1"/>
    <s v="Tamil Nadu"/>
    <s v="Chennai"/>
    <x v="2"/>
    <s v="Notebook"/>
    <s v="Notebook"/>
    <s v="Sneha"/>
    <s v="Retail"/>
    <n v="4"/>
    <n v="1150"/>
    <n v="5"/>
    <n v="4370"/>
    <n v="685.77"/>
  </r>
  <r>
    <s v="ORD00851"/>
    <s v="2025-02-09"/>
    <x v="9"/>
    <x v="2"/>
    <s v="Chandigarh"/>
    <s v="Chandigarh"/>
    <x v="1"/>
    <s v="Monitor"/>
    <s v="Monitor"/>
    <s v="Sneha"/>
    <s v="Corporate"/>
    <n v="7"/>
    <n v="3537"/>
    <n v="15"/>
    <n v="21045.15"/>
    <n v="5872.84"/>
  </r>
  <r>
    <s v="ORD00852"/>
    <s v="2026-03-11"/>
    <x v="0"/>
    <x v="0"/>
    <s v="Odisha"/>
    <s v="Bhubaneswar"/>
    <x v="0"/>
    <s v="Table"/>
    <s v="Table"/>
    <s v="Amit"/>
    <s v="Corporate"/>
    <n v="2"/>
    <n v="11167"/>
    <n v="20"/>
    <n v="17867.2"/>
    <n v="1326.07"/>
  </r>
  <r>
    <s v="ORD00853"/>
    <s v="2025-02-22"/>
    <x v="9"/>
    <x v="2"/>
    <s v="Chandigarh"/>
    <s v="Chandigarh"/>
    <x v="0"/>
    <s v="Chair"/>
    <s v="Chair"/>
    <s v="Amit"/>
    <s v="Corporate"/>
    <n v="7"/>
    <n v="37156"/>
    <n v="10"/>
    <n v="234082.8"/>
    <n v="51174.9"/>
  </r>
  <r>
    <s v="ORD00854"/>
    <s v="2026-03-11"/>
    <x v="0"/>
    <x v="0"/>
    <s v="West Bengal"/>
    <s v="Kolkata"/>
    <x v="2"/>
    <s v="Stapler"/>
    <s v="Stapler"/>
    <s v="Meena"/>
    <s v="Corporate"/>
    <n v="10"/>
    <n v="41083"/>
    <n v="5"/>
    <n v="390288.5"/>
    <n v="29498.720000000001"/>
  </r>
  <r>
    <s v="ORD00855"/>
    <s v="2025-04-10"/>
    <x v="2"/>
    <x v="2"/>
    <s v="Chandigarh"/>
    <s v="Chandigarh"/>
    <x v="0"/>
    <s v="Sofa"/>
    <s v="Sofa"/>
    <s v="Vicky"/>
    <s v="Retail"/>
    <n v="3"/>
    <n v="23979"/>
    <n v="10"/>
    <n v="64743.3"/>
    <n v="4397.84"/>
  </r>
  <r>
    <s v="ORD00856"/>
    <s v="2025-08-21"/>
    <x v="8"/>
    <x v="0"/>
    <s v="Odisha"/>
    <s v="Bhubaneswar"/>
    <x v="1"/>
    <s v="Keyboard"/>
    <s v="Keyboard"/>
    <s v="Rahul"/>
    <s v="Corporate"/>
    <n v="10"/>
    <n v="22653"/>
    <n v="10"/>
    <n v="203877"/>
    <n v="52374.96"/>
  </r>
  <r>
    <s v="ORD00857"/>
    <s v="2025-09-08"/>
    <x v="10"/>
    <x v="2"/>
    <s v="Delhi"/>
    <s v="Delhi"/>
    <x v="0"/>
    <s v="Sofa"/>
    <s v="Sofa"/>
    <s v="Arun"/>
    <s v="Retail"/>
    <n v="2"/>
    <n v="4351"/>
    <n v="20"/>
    <n v="6961.6"/>
    <n v="834.36"/>
  </r>
  <r>
    <s v="ORD00858"/>
    <s v="2025-07-10"/>
    <x v="5"/>
    <x v="1"/>
    <s v="Tamil Nadu"/>
    <s v="Chennai"/>
    <x v="1"/>
    <s v="Monitor"/>
    <s v="Monitor"/>
    <s v="Sneha"/>
    <s v="Retail"/>
    <n v="7"/>
    <n v="37944"/>
    <n v="0"/>
    <n v="265608"/>
    <n v="53940.33"/>
  </r>
  <r>
    <s v="ORD00859"/>
    <s v="2026-02-02"/>
    <x v="9"/>
    <x v="0"/>
    <s v="Odisha"/>
    <s v="Bhubaneswar"/>
    <x v="1"/>
    <s v="Mobile"/>
    <s v="Mobile"/>
    <s v="Sneha"/>
    <s v="Corporate"/>
    <n v="1"/>
    <n v="13938"/>
    <n v="15"/>
    <n v="11847.3"/>
    <n v="1362.91"/>
  </r>
  <r>
    <s v="ORD00860"/>
    <s v="2025-10-07"/>
    <x v="11"/>
    <x v="3"/>
    <s v="Maharashtra"/>
    <s v="Mumbai"/>
    <x v="0"/>
    <s v="Chair"/>
    <s v="Chair"/>
    <s v="Sneha"/>
    <s v="Retail"/>
    <n v="2"/>
    <n v="17687"/>
    <n v="10"/>
    <n v="31836.6"/>
    <n v="3731.42"/>
  </r>
  <r>
    <s v="ORD00861"/>
    <s v="2026-01-17"/>
    <x v="4"/>
    <x v="2"/>
    <s v="Delhi"/>
    <s v="Delhi"/>
    <x v="1"/>
    <s v="Monitor"/>
    <s v="Monitor"/>
    <s v="Amit"/>
    <s v="Corporate"/>
    <n v="8"/>
    <n v="3730"/>
    <n v="5"/>
    <n v="28348"/>
    <n v="3680.93"/>
  </r>
  <r>
    <s v="ORD00862"/>
    <s v="2025-07-02"/>
    <x v="5"/>
    <x v="2"/>
    <s v="Delhi"/>
    <s v="Delhi"/>
    <x v="0"/>
    <s v="Chair"/>
    <s v="Chair"/>
    <s v="Arun"/>
    <s v="Corporate"/>
    <n v="1"/>
    <n v="31171"/>
    <n v="10"/>
    <n v="28053.9"/>
    <n v="3711.99"/>
  </r>
  <r>
    <s v="ORD00863"/>
    <s v="2025-01-04"/>
    <x v="4"/>
    <x v="1"/>
    <s v="Karnataka"/>
    <s v="Bengaluru"/>
    <x v="0"/>
    <s v="Desk"/>
    <s v="Desk"/>
    <s v="Priya"/>
    <s v="Corporate"/>
    <n v="8"/>
    <n v="30964"/>
    <n v="15"/>
    <n v="210555.2"/>
    <n v="29012.86"/>
  </r>
  <r>
    <s v="ORD00864"/>
    <s v="2025-12-25"/>
    <x v="3"/>
    <x v="1"/>
    <s v="Tamil Nadu"/>
    <s v="Chennai"/>
    <x v="0"/>
    <s v="Sofa"/>
    <s v="Sofa"/>
    <s v="Priya"/>
    <s v="Corporate"/>
    <n v="1"/>
    <n v="21994"/>
    <n v="0"/>
    <n v="21994"/>
    <n v="3401.57"/>
  </r>
  <r>
    <s v="ORD00865"/>
    <s v="2026-04-11"/>
    <x v="2"/>
    <x v="2"/>
    <s v="Chandigarh"/>
    <s v="Chandigarh"/>
    <x v="0"/>
    <s v="Desk"/>
    <s v="Desk"/>
    <s v="Sneha"/>
    <s v="Corporate"/>
    <n v="7"/>
    <n v="35883"/>
    <n v="15"/>
    <n v="213503.85"/>
    <n v="16193"/>
  </r>
  <r>
    <s v="ORD00866"/>
    <s v="2025-01-19"/>
    <x v="4"/>
    <x v="3"/>
    <s v="Gujarat"/>
    <s v="Ahmedabad"/>
    <x v="2"/>
    <s v="Notebook"/>
    <s v="Notebook"/>
    <s v="Rahul"/>
    <s v="Retail"/>
    <n v="7"/>
    <n v="42564"/>
    <n v="0"/>
    <n v="297948"/>
    <n v="41815.64"/>
  </r>
  <r>
    <s v="ORD00867"/>
    <s v="2026-01-02"/>
    <x v="4"/>
    <x v="3"/>
    <s v="Gujarat"/>
    <s v="Ahmedabad"/>
    <x v="0"/>
    <s v="Table"/>
    <s v="Table"/>
    <s v="Vicky"/>
    <s v="Corporate"/>
    <n v="4"/>
    <n v="6455"/>
    <n v="5"/>
    <n v="24529"/>
    <n v="6995.78"/>
  </r>
  <r>
    <s v="ORD00868"/>
    <s v="2025-02-24"/>
    <x v="9"/>
    <x v="1"/>
    <s v="Tamil Nadu"/>
    <s v="Chennai"/>
    <x v="2"/>
    <s v="Pen"/>
    <s v="Pen"/>
    <s v="John"/>
    <s v="Corporate"/>
    <n v="8"/>
    <n v="31378"/>
    <n v="20"/>
    <n v="200819.20000000001"/>
    <n v="13022.31"/>
  </r>
  <r>
    <s v="ORD00869"/>
    <s v="2026-06-24"/>
    <x v="1"/>
    <x v="0"/>
    <s v="Odisha"/>
    <s v="Bhubaneswar"/>
    <x v="2"/>
    <s v="Notebook"/>
    <s v="Notebook"/>
    <s v="Vicky"/>
    <s v="Retail"/>
    <n v="5"/>
    <n v="23900"/>
    <n v="15"/>
    <n v="101575"/>
    <n v="26833.51"/>
  </r>
  <r>
    <s v="ORD00870"/>
    <s v="2025-04-18"/>
    <x v="2"/>
    <x v="0"/>
    <s v="Odisha"/>
    <s v="Bhubaneswar"/>
    <x v="1"/>
    <s v="Monitor"/>
    <s v="Monitor"/>
    <s v="Arun"/>
    <s v="Corporate"/>
    <n v="7"/>
    <n v="7343"/>
    <n v="10"/>
    <n v="46260.9"/>
    <n v="11638.06"/>
  </r>
  <r>
    <s v="ORD00871"/>
    <s v="2026-06-21"/>
    <x v="1"/>
    <x v="1"/>
    <s v="Karnataka"/>
    <s v="Bengaluru"/>
    <x v="2"/>
    <s v="Stapler"/>
    <s v="Stapler"/>
    <s v="Vicky"/>
    <s v="Corporate"/>
    <n v="9"/>
    <n v="45371"/>
    <n v="5"/>
    <n v="387922.05"/>
    <n v="103635.55"/>
  </r>
  <r>
    <s v="ORD00872"/>
    <s v="2026-06-04"/>
    <x v="1"/>
    <x v="0"/>
    <s v="Odisha"/>
    <s v="Bhubaneswar"/>
    <x v="0"/>
    <s v="Table"/>
    <s v="Table"/>
    <s v="Arun"/>
    <s v="Retail"/>
    <n v="4"/>
    <n v="16401"/>
    <n v="10"/>
    <n v="59043.6"/>
    <n v="14921.33"/>
  </r>
  <r>
    <s v="ORD00873"/>
    <s v="2026-02-28"/>
    <x v="9"/>
    <x v="2"/>
    <s v="Chandigarh"/>
    <s v="Chandigarh"/>
    <x v="1"/>
    <s v="Keyboard"/>
    <s v="Keyboard"/>
    <s v="Rahul"/>
    <s v="Retail"/>
    <n v="10"/>
    <n v="8962"/>
    <n v="0"/>
    <n v="89620"/>
    <n v="13662.57"/>
  </r>
  <r>
    <s v="ORD00874"/>
    <s v="2025-07-02"/>
    <x v="5"/>
    <x v="3"/>
    <s v="Maharashtra"/>
    <s v="Mumbai"/>
    <x v="0"/>
    <s v="Chair"/>
    <s v="Chair"/>
    <s v="Vicky"/>
    <s v="Corporate"/>
    <n v="5"/>
    <n v="34382"/>
    <n v="15"/>
    <n v="146123.5"/>
    <n v="17075.96"/>
  </r>
  <r>
    <s v="ORD00875"/>
    <s v="2025-05-26"/>
    <x v="6"/>
    <x v="3"/>
    <s v="Maharashtra"/>
    <s v="Mumbai"/>
    <x v="0"/>
    <s v="Sofa"/>
    <s v="Sofa"/>
    <s v="Priya"/>
    <s v="Retail"/>
    <n v="5"/>
    <n v="38334"/>
    <n v="0"/>
    <n v="191670"/>
    <n v="30352.33"/>
  </r>
  <r>
    <s v="ORD00876"/>
    <s v="2026-05-18"/>
    <x v="6"/>
    <x v="3"/>
    <s v="Gujarat"/>
    <s v="Ahmedabad"/>
    <x v="2"/>
    <s v="Notebook"/>
    <s v="Notebook"/>
    <s v="Vicky"/>
    <s v="Retail"/>
    <n v="9"/>
    <n v="8923"/>
    <n v="10"/>
    <n v="72276.3"/>
    <n v="9486.7000000000007"/>
  </r>
  <r>
    <s v="ORD00877"/>
    <s v="2025-07-23"/>
    <x v="5"/>
    <x v="2"/>
    <s v="Delhi"/>
    <s v="Delhi"/>
    <x v="1"/>
    <s v="Monitor"/>
    <s v="Monitor"/>
    <s v="Vicky"/>
    <s v="Retail"/>
    <n v="8"/>
    <n v="34841"/>
    <n v="0"/>
    <n v="278728"/>
    <n v="45479.21"/>
  </r>
  <r>
    <s v="ORD00878"/>
    <s v="2025-08-30"/>
    <x v="8"/>
    <x v="2"/>
    <s v="Chandigarh"/>
    <s v="Chandigarh"/>
    <x v="2"/>
    <s v="Printer Paper"/>
    <s v="Printer Paper"/>
    <s v="Meena"/>
    <s v="Retail"/>
    <n v="9"/>
    <n v="1880"/>
    <n v="15"/>
    <n v="14382"/>
    <n v="3120.04"/>
  </r>
  <r>
    <s v="ORD00879"/>
    <s v="2026-01-16"/>
    <x v="4"/>
    <x v="0"/>
    <s v="West Bengal"/>
    <s v="Kolkata"/>
    <x v="1"/>
    <s v="Keyboard"/>
    <s v="Keyboard"/>
    <s v="Rahul"/>
    <s v="Retail"/>
    <n v="10"/>
    <n v="10541"/>
    <n v="15"/>
    <n v="89598.5"/>
    <n v="25913.56"/>
  </r>
  <r>
    <s v="ORD00880"/>
    <s v="2025-04-25"/>
    <x v="2"/>
    <x v="2"/>
    <s v="Delhi"/>
    <s v="Delhi"/>
    <x v="1"/>
    <s v="Keyboard"/>
    <s v="Keyboard"/>
    <s v="Amit"/>
    <s v="Corporate"/>
    <n v="7"/>
    <n v="11152"/>
    <n v="0"/>
    <n v="78064"/>
    <n v="7701.58"/>
  </r>
  <r>
    <s v="ORD00881"/>
    <s v="2025-12-27"/>
    <x v="3"/>
    <x v="0"/>
    <s v="Odisha"/>
    <s v="Bhubaneswar"/>
    <x v="1"/>
    <s v="Laptop"/>
    <s v="Laptop"/>
    <s v="John"/>
    <s v="Retail"/>
    <n v="8"/>
    <n v="7928"/>
    <n v="15"/>
    <n v="53910.400000000001"/>
    <n v="14145.98"/>
  </r>
  <r>
    <s v="ORD00882"/>
    <s v="2026-04-13"/>
    <x v="2"/>
    <x v="3"/>
    <s v="Gujarat"/>
    <s v="Ahmedabad"/>
    <x v="0"/>
    <s v="Desk"/>
    <s v="Desk"/>
    <s v="Vicky"/>
    <s v="Retail"/>
    <n v="9"/>
    <n v="19226"/>
    <n v="5"/>
    <n v="164382.29999999999"/>
    <n v="28149.61"/>
  </r>
  <r>
    <s v="ORD00883"/>
    <s v="2025-09-07"/>
    <x v="10"/>
    <x v="2"/>
    <s v="Chandigarh"/>
    <s v="Chandigarh"/>
    <x v="2"/>
    <s v="Notebook"/>
    <s v="Notebook"/>
    <s v="Priya"/>
    <s v="Retail"/>
    <n v="8"/>
    <n v="499"/>
    <n v="15"/>
    <n v="3393.2"/>
    <n v="780.99"/>
  </r>
  <r>
    <s v="ORD00884"/>
    <s v="2025-10-03"/>
    <x v="11"/>
    <x v="1"/>
    <s v="Tamil Nadu"/>
    <s v="Chennai"/>
    <x v="2"/>
    <s v="Printer Paper"/>
    <s v="Printer Paper"/>
    <s v="Arun"/>
    <s v="Corporate"/>
    <n v="2"/>
    <n v="40449"/>
    <n v="10"/>
    <n v="72808.2"/>
    <n v="11665.08"/>
  </r>
  <r>
    <s v="ORD00885"/>
    <s v="2025-07-23"/>
    <x v="5"/>
    <x v="0"/>
    <s v="West Bengal"/>
    <s v="Kolkata"/>
    <x v="2"/>
    <s v="Stapler"/>
    <s v="Stapler"/>
    <s v="Amit"/>
    <s v="Corporate"/>
    <n v="5"/>
    <n v="20528"/>
    <n v="10"/>
    <n v="92376"/>
    <n v="21917.02"/>
  </r>
  <r>
    <s v="ORD00886"/>
    <s v="2026-03-12"/>
    <x v="0"/>
    <x v="2"/>
    <s v="Delhi"/>
    <s v="Delhi"/>
    <x v="2"/>
    <s v="Stapler"/>
    <s v="Stapler"/>
    <s v="Meena"/>
    <s v="Retail"/>
    <n v="7"/>
    <n v="34439"/>
    <n v="10"/>
    <n v="216965.7"/>
    <n v="21846.63"/>
  </r>
  <r>
    <s v="ORD00887"/>
    <s v="2025-03-16"/>
    <x v="0"/>
    <x v="2"/>
    <s v="Chandigarh"/>
    <s v="Chandigarh"/>
    <x v="0"/>
    <s v="Table"/>
    <s v="Table"/>
    <s v="John"/>
    <s v="Retail"/>
    <n v="6"/>
    <n v="40012"/>
    <n v="5"/>
    <n v="228068.4"/>
    <n v="58480.12"/>
  </r>
  <r>
    <s v="ORD00888"/>
    <s v="2025-06-09"/>
    <x v="1"/>
    <x v="1"/>
    <s v="Karnataka"/>
    <s v="Bengaluru"/>
    <x v="1"/>
    <s v="Monitor"/>
    <s v="Monitor"/>
    <s v="Rahul"/>
    <s v="Corporate"/>
    <n v="2"/>
    <n v="31177"/>
    <n v="20"/>
    <n v="49883.199999999997"/>
    <n v="9131.9500000000007"/>
  </r>
  <r>
    <s v="ORD00889"/>
    <s v="2025-04-20"/>
    <x v="2"/>
    <x v="3"/>
    <s v="Maharashtra"/>
    <s v="Mumbai"/>
    <x v="0"/>
    <s v="Desk"/>
    <s v="Desk"/>
    <s v="Vicky"/>
    <s v="Corporate"/>
    <n v="9"/>
    <n v="45481"/>
    <n v="5"/>
    <n v="388862.55"/>
    <n v="93976.83"/>
  </r>
  <r>
    <s v="ORD00890"/>
    <s v="2025-12-22"/>
    <x v="3"/>
    <x v="1"/>
    <s v="Karnataka"/>
    <s v="Bengaluru"/>
    <x v="1"/>
    <s v="Monitor"/>
    <s v="Monitor"/>
    <s v="Sneha"/>
    <s v="Retail"/>
    <n v="10"/>
    <n v="9819"/>
    <n v="10"/>
    <n v="88371"/>
    <n v="17848.5"/>
  </r>
  <r>
    <s v="ORD00891"/>
    <s v="2026-06-23"/>
    <x v="1"/>
    <x v="1"/>
    <s v="Karnataka"/>
    <s v="Bengaluru"/>
    <x v="0"/>
    <s v="Sofa"/>
    <s v="Sofa"/>
    <s v="Rahul"/>
    <s v="Corporate"/>
    <n v="9"/>
    <n v="46648"/>
    <n v="5"/>
    <n v="398840.4"/>
    <n v="102453.61"/>
  </r>
  <r>
    <s v="ORD00892"/>
    <s v="2025-07-19"/>
    <x v="5"/>
    <x v="1"/>
    <s v="Karnataka"/>
    <s v="Bengaluru"/>
    <x v="2"/>
    <s v="Stapler"/>
    <s v="Stapler"/>
    <s v="Priya"/>
    <s v="Corporate"/>
    <n v="8"/>
    <n v="17602"/>
    <n v="5"/>
    <n v="133775.20000000001"/>
    <n v="29706.99"/>
  </r>
  <r>
    <s v="ORD00893"/>
    <s v="2026-02-05"/>
    <x v="9"/>
    <x v="0"/>
    <s v="Odisha"/>
    <s v="Bhubaneswar"/>
    <x v="0"/>
    <s v="Desk"/>
    <s v="Desk"/>
    <s v="Amit"/>
    <s v="Retail"/>
    <n v="2"/>
    <n v="42391"/>
    <n v="10"/>
    <n v="76303.8"/>
    <n v="14082.81"/>
  </r>
  <r>
    <s v="ORD00894"/>
    <s v="2025-11-29"/>
    <x v="7"/>
    <x v="0"/>
    <s v="West Bengal"/>
    <s v="Kolkata"/>
    <x v="2"/>
    <s v="Notebook"/>
    <s v="Notebook"/>
    <s v="Rahul"/>
    <s v="Retail"/>
    <n v="5"/>
    <n v="2624"/>
    <n v="15"/>
    <n v="11152"/>
    <n v="2217.2800000000002"/>
  </r>
  <r>
    <s v="ORD00895"/>
    <s v="2025-05-17"/>
    <x v="6"/>
    <x v="1"/>
    <s v="Karnataka"/>
    <s v="Bengaluru"/>
    <x v="0"/>
    <s v="Table"/>
    <s v="Table"/>
    <s v="Priya"/>
    <s v="Retail"/>
    <n v="9"/>
    <n v="7723"/>
    <n v="10"/>
    <n v="62556.3"/>
    <n v="5848.97"/>
  </r>
  <r>
    <s v="ORD00896"/>
    <s v="2026-01-26"/>
    <x v="4"/>
    <x v="2"/>
    <s v="Delhi"/>
    <s v="Delhi"/>
    <x v="2"/>
    <s v="Stapler"/>
    <s v="Stapler"/>
    <s v="Vicky"/>
    <s v="Retail"/>
    <n v="3"/>
    <n v="44634"/>
    <n v="20"/>
    <n v="107121.60000000001"/>
    <n v="24792.560000000001"/>
  </r>
  <r>
    <s v="ORD00897"/>
    <s v="2025-02-25"/>
    <x v="9"/>
    <x v="1"/>
    <s v="Tamil Nadu"/>
    <s v="Chennai"/>
    <x v="0"/>
    <s v="Desk"/>
    <s v="Desk"/>
    <s v="Priya"/>
    <s v="Retail"/>
    <n v="7"/>
    <n v="10129"/>
    <n v="0"/>
    <n v="70903"/>
    <n v="6249.53"/>
  </r>
  <r>
    <s v="ORD00898"/>
    <s v="2025-05-11"/>
    <x v="6"/>
    <x v="2"/>
    <s v="Delhi"/>
    <s v="Delhi"/>
    <x v="0"/>
    <s v="Desk"/>
    <s v="Desk"/>
    <s v="John"/>
    <s v="Corporate"/>
    <n v="6"/>
    <n v="30750"/>
    <n v="5"/>
    <n v="175275"/>
    <n v="21158.79"/>
  </r>
  <r>
    <s v="ORD00899"/>
    <s v="2025-10-17"/>
    <x v="11"/>
    <x v="0"/>
    <s v="West Bengal"/>
    <s v="Kolkata"/>
    <x v="1"/>
    <s v="Keyboard"/>
    <s v="Keyboard"/>
    <s v="Vicky"/>
    <s v="Corporate"/>
    <n v="5"/>
    <n v="9317"/>
    <n v="15"/>
    <n v="39597.25"/>
    <n v="5549.58"/>
  </r>
  <r>
    <s v="ORD00900"/>
    <s v="2025-01-29"/>
    <x v="4"/>
    <x v="3"/>
    <s v="Gujarat"/>
    <s v="Ahmedabad"/>
    <x v="1"/>
    <s v="Laptop"/>
    <s v="Laptop"/>
    <s v="Sneha"/>
    <s v="Retail"/>
    <n v="6"/>
    <n v="18589"/>
    <n v="5"/>
    <n v="105957.3"/>
    <n v="15400.59"/>
  </r>
  <r>
    <s v="ORD00901"/>
    <s v="2025-02-20"/>
    <x v="9"/>
    <x v="0"/>
    <s v="Odisha"/>
    <s v="Bhubaneswar"/>
    <x v="0"/>
    <s v="Sofa"/>
    <s v="Sofa"/>
    <s v="Meena"/>
    <s v="Corporate"/>
    <n v="4"/>
    <n v="10888"/>
    <n v="20"/>
    <n v="34841.599999999999"/>
    <n v="8511.2000000000007"/>
  </r>
  <r>
    <s v="ORD00902"/>
    <s v="2025-01-08"/>
    <x v="4"/>
    <x v="1"/>
    <s v="Tamil Nadu"/>
    <s v="Chennai"/>
    <x v="0"/>
    <s v="Chair"/>
    <s v="Chair"/>
    <s v="Arun"/>
    <s v="Corporate"/>
    <n v="1"/>
    <n v="32950"/>
    <n v="10"/>
    <n v="29655"/>
    <n v="1997.58"/>
  </r>
  <r>
    <s v="ORD00903"/>
    <s v="2026-06-15"/>
    <x v="1"/>
    <x v="3"/>
    <s v="Gujarat"/>
    <s v="Ahmedabad"/>
    <x v="0"/>
    <s v="Chair"/>
    <s v="Chair"/>
    <s v="Arun"/>
    <s v="Retail"/>
    <n v="5"/>
    <n v="13935"/>
    <n v="5"/>
    <n v="66191.25"/>
    <n v="12941.28"/>
  </r>
  <r>
    <s v="ORD00904"/>
    <s v="2025-08-20"/>
    <x v="8"/>
    <x v="1"/>
    <s v="Karnataka"/>
    <s v="Bengaluru"/>
    <x v="2"/>
    <s v="Notebook"/>
    <s v="Notebook"/>
    <s v="Rahul"/>
    <s v="Corporate"/>
    <n v="4"/>
    <n v="46913"/>
    <n v="15"/>
    <n v="159504.20000000001"/>
    <n v="41963.79"/>
  </r>
  <r>
    <s v="ORD00905"/>
    <s v="2026-03-31"/>
    <x v="0"/>
    <x v="1"/>
    <s v="Tamil Nadu"/>
    <s v="Chennai"/>
    <x v="2"/>
    <s v="Notebook"/>
    <s v="Notebook"/>
    <s v="Arun"/>
    <s v="Retail"/>
    <n v="1"/>
    <n v="47976"/>
    <n v="15"/>
    <n v="40779.599999999999"/>
    <n v="11865.67"/>
  </r>
  <r>
    <s v="ORD00906"/>
    <s v="2025-11-05"/>
    <x v="7"/>
    <x v="0"/>
    <s v="West Bengal"/>
    <s v="Kolkata"/>
    <x v="0"/>
    <s v="Chair"/>
    <s v="Chair"/>
    <s v="Rahul"/>
    <s v="Corporate"/>
    <n v="7"/>
    <n v="36725"/>
    <n v="5"/>
    <n v="244221.25"/>
    <n v="55373.440000000002"/>
  </r>
  <r>
    <s v="ORD00907"/>
    <s v="2025-01-18"/>
    <x v="4"/>
    <x v="0"/>
    <s v="Odisha"/>
    <s v="Bhubaneswar"/>
    <x v="1"/>
    <s v="Laptop"/>
    <s v="Laptop"/>
    <s v="Meena"/>
    <s v="Corporate"/>
    <n v="4"/>
    <n v="21667"/>
    <n v="10"/>
    <n v="78001.2"/>
    <n v="9094.67"/>
  </r>
  <r>
    <s v="ORD00908"/>
    <s v="2026-03-09"/>
    <x v="0"/>
    <x v="2"/>
    <s v="Delhi"/>
    <s v="Delhi"/>
    <x v="0"/>
    <s v="Table"/>
    <s v="Table"/>
    <s v="Rahul"/>
    <s v="Retail"/>
    <n v="8"/>
    <n v="13943"/>
    <n v="10"/>
    <n v="100389.6"/>
    <n v="14263.35"/>
  </r>
  <r>
    <s v="ORD00909"/>
    <s v="2025-05-29"/>
    <x v="6"/>
    <x v="0"/>
    <s v="West Bengal"/>
    <s v="Kolkata"/>
    <x v="1"/>
    <s v="Keyboard"/>
    <s v="Keyboard"/>
    <s v="Vicky"/>
    <s v="Corporate"/>
    <n v="9"/>
    <n v="25274"/>
    <n v="5"/>
    <n v="216092.7"/>
    <n v="61087.78"/>
  </r>
  <r>
    <s v="ORD00910"/>
    <s v="2025-06-05"/>
    <x v="1"/>
    <x v="0"/>
    <s v="Odisha"/>
    <s v="Bhubaneswar"/>
    <x v="2"/>
    <s v="Stapler"/>
    <s v="Stapler"/>
    <s v="Meena"/>
    <s v="Retail"/>
    <n v="8"/>
    <n v="46716"/>
    <n v="20"/>
    <n v="298982.40000000002"/>
    <n v="77618.91"/>
  </r>
  <r>
    <s v="ORD00911"/>
    <s v="2025-03-14"/>
    <x v="0"/>
    <x v="0"/>
    <s v="Odisha"/>
    <s v="Bhubaneswar"/>
    <x v="0"/>
    <s v="Chair"/>
    <s v="Chair"/>
    <s v="Meena"/>
    <s v="Corporate"/>
    <n v="2"/>
    <n v="7921"/>
    <n v="0"/>
    <n v="15842"/>
    <n v="3373.82"/>
  </r>
  <r>
    <s v="ORD00912"/>
    <s v="2026-05-09"/>
    <x v="6"/>
    <x v="3"/>
    <s v="Maharashtra"/>
    <s v="Mumbai"/>
    <x v="2"/>
    <s v="Stapler"/>
    <s v="Stapler"/>
    <s v="Rahul"/>
    <s v="Corporate"/>
    <n v="5"/>
    <n v="17772"/>
    <n v="5"/>
    <n v="84417"/>
    <n v="18956.98"/>
  </r>
  <r>
    <s v="ORD00913"/>
    <s v="2026-05-25"/>
    <x v="6"/>
    <x v="2"/>
    <s v="Delhi"/>
    <s v="Delhi"/>
    <x v="0"/>
    <s v="Chair"/>
    <s v="Chair"/>
    <s v="Rahul"/>
    <s v="Retail"/>
    <n v="6"/>
    <n v="40375"/>
    <n v="15"/>
    <n v="205912.5"/>
    <n v="25239.69"/>
  </r>
  <r>
    <s v="ORD00914"/>
    <s v="2025-07-01"/>
    <x v="5"/>
    <x v="3"/>
    <s v="Gujarat"/>
    <s v="Ahmedabad"/>
    <x v="1"/>
    <s v="Keyboard"/>
    <s v="Keyboard"/>
    <s v="John"/>
    <s v="Corporate"/>
    <n v="8"/>
    <n v="38664"/>
    <n v="10"/>
    <n v="278380.79999999999"/>
    <n v="36723.599999999999"/>
  </r>
  <r>
    <s v="ORD00915"/>
    <s v="2026-04-08"/>
    <x v="2"/>
    <x v="3"/>
    <s v="Maharashtra"/>
    <s v="Mumbai"/>
    <x v="0"/>
    <s v="Table"/>
    <s v="Table"/>
    <s v="Priya"/>
    <s v="Corporate"/>
    <n v="5"/>
    <n v="11621"/>
    <n v="20"/>
    <n v="46484"/>
    <n v="10279.73"/>
  </r>
  <r>
    <s v="ORD00916"/>
    <s v="2025-08-23"/>
    <x v="8"/>
    <x v="1"/>
    <s v="Karnataka"/>
    <s v="Bengaluru"/>
    <x v="0"/>
    <s v="Chair"/>
    <s v="Chair"/>
    <s v="Vicky"/>
    <s v="Corporate"/>
    <n v="8"/>
    <n v="25016"/>
    <n v="5"/>
    <n v="190121.60000000001"/>
    <n v="44201.58"/>
  </r>
  <r>
    <s v="ORD00917"/>
    <s v="2025-03-22"/>
    <x v="0"/>
    <x v="0"/>
    <s v="West Bengal"/>
    <s v="Kolkata"/>
    <x v="0"/>
    <s v="Sofa"/>
    <s v="Sofa"/>
    <s v="Sneha"/>
    <s v="Corporate"/>
    <n v="4"/>
    <n v="15507"/>
    <n v="10"/>
    <n v="55825.2"/>
    <n v="8048.13"/>
  </r>
  <r>
    <s v="ORD00918"/>
    <s v="2026-02-20"/>
    <x v="9"/>
    <x v="0"/>
    <s v="West Bengal"/>
    <s v="Kolkata"/>
    <x v="1"/>
    <s v="Keyboard"/>
    <s v="Keyboard"/>
    <s v="Rahul"/>
    <s v="Retail"/>
    <n v="4"/>
    <n v="11450"/>
    <n v="0"/>
    <n v="45800"/>
    <n v="10449.879999999999"/>
  </r>
  <r>
    <s v="ORD00919"/>
    <s v="2025-10-17"/>
    <x v="11"/>
    <x v="2"/>
    <s v="Chandigarh"/>
    <s v="Chandigarh"/>
    <x v="0"/>
    <s v="Table"/>
    <s v="Table"/>
    <s v="Rahul"/>
    <s v="Corporate"/>
    <n v="1"/>
    <n v="44905"/>
    <n v="5"/>
    <n v="42659.75"/>
    <n v="12552.58"/>
  </r>
  <r>
    <s v="ORD00920"/>
    <s v="2025-03-12"/>
    <x v="0"/>
    <x v="3"/>
    <s v="Maharashtra"/>
    <s v="Mumbai"/>
    <x v="2"/>
    <s v="Pen"/>
    <s v="Pen"/>
    <s v="Vicky"/>
    <s v="Corporate"/>
    <n v="10"/>
    <n v="11632"/>
    <n v="10"/>
    <n v="104688"/>
    <n v="25105.3"/>
  </r>
  <r>
    <s v="ORD00921"/>
    <s v="2025-06-13"/>
    <x v="1"/>
    <x v="3"/>
    <s v="Maharashtra"/>
    <s v="Mumbai"/>
    <x v="0"/>
    <s v="Sofa"/>
    <s v="Sofa"/>
    <s v="Arun"/>
    <s v="Retail"/>
    <n v="10"/>
    <n v="14008"/>
    <n v="5"/>
    <n v="133076"/>
    <n v="30678.31"/>
  </r>
  <r>
    <s v="ORD00922"/>
    <s v="2025-07-21"/>
    <x v="5"/>
    <x v="0"/>
    <s v="Odisha"/>
    <s v="Bhubaneswar"/>
    <x v="0"/>
    <s v="Chair"/>
    <s v="Chair"/>
    <s v="Vicky"/>
    <s v="Corporate"/>
    <n v="10"/>
    <n v="3866"/>
    <n v="0"/>
    <n v="38660"/>
    <n v="9748.0499999999993"/>
  </r>
  <r>
    <s v="ORD00923"/>
    <s v="2025-04-28"/>
    <x v="2"/>
    <x v="0"/>
    <s v="West Bengal"/>
    <s v="Kolkata"/>
    <x v="2"/>
    <s v="Stapler"/>
    <s v="Stapler"/>
    <s v="Sneha"/>
    <s v="Retail"/>
    <n v="3"/>
    <n v="47212"/>
    <n v="5"/>
    <n v="134554.20000000001"/>
    <n v="37932.26"/>
  </r>
  <r>
    <s v="ORD00924"/>
    <s v="2025-03-06"/>
    <x v="0"/>
    <x v="1"/>
    <s v="Karnataka"/>
    <s v="Bengaluru"/>
    <x v="0"/>
    <s v="Desk"/>
    <s v="Desk"/>
    <s v="Priya"/>
    <s v="Retail"/>
    <n v="4"/>
    <n v="23397"/>
    <n v="0"/>
    <n v="93588"/>
    <n v="16706.810000000001"/>
  </r>
  <r>
    <s v="ORD00925"/>
    <s v="2026-03-25"/>
    <x v="0"/>
    <x v="3"/>
    <s v="Maharashtra"/>
    <s v="Mumbai"/>
    <x v="2"/>
    <s v="Pen"/>
    <s v="Pen"/>
    <s v="John"/>
    <s v="Corporate"/>
    <n v="6"/>
    <n v="13932"/>
    <n v="10"/>
    <n v="75232.800000000003"/>
    <n v="17313.34"/>
  </r>
  <r>
    <s v="ORD00926"/>
    <s v="2025-04-05"/>
    <x v="2"/>
    <x v="2"/>
    <s v="Delhi"/>
    <s v="Delhi"/>
    <x v="2"/>
    <s v="Stapler"/>
    <s v="Stapler"/>
    <s v="Rahul"/>
    <s v="Retail"/>
    <n v="9"/>
    <n v="24872"/>
    <n v="5"/>
    <n v="212655.6"/>
    <n v="36715.96"/>
  </r>
  <r>
    <s v="ORD00927"/>
    <s v="2026-04-22"/>
    <x v="2"/>
    <x v="3"/>
    <s v="Gujarat"/>
    <s v="Ahmedabad"/>
    <x v="2"/>
    <s v="Notebook"/>
    <s v="Notebook"/>
    <s v="Amit"/>
    <s v="Corporate"/>
    <n v="5"/>
    <n v="25876"/>
    <n v="5"/>
    <n v="122911"/>
    <n v="31154.68"/>
  </r>
  <r>
    <s v="ORD00928"/>
    <s v="2025-10-20"/>
    <x v="11"/>
    <x v="2"/>
    <s v="Delhi"/>
    <s v="Delhi"/>
    <x v="1"/>
    <s v="Monitor"/>
    <s v="Monitor"/>
    <s v="Amit"/>
    <s v="Retail"/>
    <n v="5"/>
    <n v="46416"/>
    <n v="10"/>
    <n v="208872"/>
    <n v="39526.19"/>
  </r>
  <r>
    <s v="ORD00929"/>
    <s v="2025-07-08"/>
    <x v="5"/>
    <x v="3"/>
    <s v="Maharashtra"/>
    <s v="Mumbai"/>
    <x v="1"/>
    <s v="Mobile"/>
    <s v="Mobile"/>
    <s v="Priya"/>
    <s v="Corporate"/>
    <n v="5"/>
    <n v="8054"/>
    <n v="5"/>
    <n v="38256.5"/>
    <n v="9261.42"/>
  </r>
  <r>
    <s v="ORD00930"/>
    <s v="2026-03-12"/>
    <x v="0"/>
    <x v="1"/>
    <s v="Karnataka"/>
    <s v="Bengaluru"/>
    <x v="1"/>
    <s v="Mobile"/>
    <s v="Mobile"/>
    <s v="Meena"/>
    <s v="Retail"/>
    <n v="6"/>
    <n v="4435"/>
    <n v="20"/>
    <n v="21288"/>
    <n v="3707.31"/>
  </r>
  <r>
    <s v="ORD00931"/>
    <s v="2026-06-24"/>
    <x v="1"/>
    <x v="2"/>
    <s v="Delhi"/>
    <s v="Delhi"/>
    <x v="0"/>
    <s v="Desk"/>
    <s v="Desk"/>
    <s v="Priya"/>
    <s v="Retail"/>
    <n v="4"/>
    <n v="14542"/>
    <n v="10"/>
    <n v="52351.199999999997"/>
    <n v="13855.11"/>
  </r>
  <r>
    <s v="ORD00932"/>
    <s v="2025-04-21"/>
    <x v="2"/>
    <x v="3"/>
    <s v="Maharashtra"/>
    <s v="Mumbai"/>
    <x v="0"/>
    <s v="Desk"/>
    <s v="Desk"/>
    <s v="John"/>
    <s v="Retail"/>
    <n v="3"/>
    <n v="43948"/>
    <n v="5"/>
    <n v="125251.8"/>
    <n v="9562.07"/>
  </r>
  <r>
    <s v="ORD00933"/>
    <s v="2025-05-02"/>
    <x v="6"/>
    <x v="1"/>
    <s v="Tamil Nadu"/>
    <s v="Chennai"/>
    <x v="2"/>
    <s v="Printer Paper"/>
    <s v="Printer Paper"/>
    <s v="John"/>
    <s v="Corporate"/>
    <n v="7"/>
    <n v="1124"/>
    <n v="15"/>
    <n v="6687.8"/>
    <n v="491.69"/>
  </r>
  <r>
    <s v="ORD00934"/>
    <s v="2025-11-05"/>
    <x v="7"/>
    <x v="2"/>
    <s v="Chandigarh"/>
    <s v="Chandigarh"/>
    <x v="0"/>
    <s v="Chair"/>
    <s v="Chair"/>
    <s v="Arun"/>
    <s v="Corporate"/>
    <n v="5"/>
    <n v="35113"/>
    <n v="10"/>
    <n v="158008.5"/>
    <n v="45437.24"/>
  </r>
  <r>
    <s v="ORD00935"/>
    <s v="2025-04-05"/>
    <x v="2"/>
    <x v="2"/>
    <s v="Chandigarh"/>
    <s v="Chandigarh"/>
    <x v="1"/>
    <s v="Laptop"/>
    <s v="Laptop"/>
    <s v="Vicky"/>
    <s v="Corporate"/>
    <n v="3"/>
    <n v="22571"/>
    <n v="5"/>
    <n v="64327.35"/>
    <n v="18266.830000000002"/>
  </r>
  <r>
    <s v="ORD00936"/>
    <s v="2025-09-30"/>
    <x v="10"/>
    <x v="2"/>
    <s v="Delhi"/>
    <s v="Delhi"/>
    <x v="1"/>
    <s v="Laptop"/>
    <s v="Laptop"/>
    <s v="Rahul"/>
    <s v="Corporate"/>
    <n v="10"/>
    <n v="41725"/>
    <n v="20"/>
    <n v="333800"/>
    <n v="80034.850000000006"/>
  </r>
  <r>
    <s v="ORD00937"/>
    <s v="2025-12-29"/>
    <x v="3"/>
    <x v="0"/>
    <s v="West Bengal"/>
    <s v="Kolkata"/>
    <x v="0"/>
    <s v="Desk"/>
    <s v="Desk"/>
    <s v="Priya"/>
    <s v="Corporate"/>
    <n v="8"/>
    <n v="49102"/>
    <n v="0"/>
    <n v="392816"/>
    <n v="45415.99"/>
  </r>
  <r>
    <s v="ORD00938"/>
    <s v="2026-03-17"/>
    <x v="0"/>
    <x v="1"/>
    <s v="Karnataka"/>
    <s v="Bengaluru"/>
    <x v="2"/>
    <s v="Notebook"/>
    <s v="Notebook"/>
    <s v="Amit"/>
    <s v="Retail"/>
    <n v="5"/>
    <n v="36632"/>
    <n v="5"/>
    <n v="174002"/>
    <n v="35384.18"/>
  </r>
  <r>
    <s v="ORD00939"/>
    <s v="2025-02-17"/>
    <x v="9"/>
    <x v="2"/>
    <s v="Chandigarh"/>
    <s v="Chandigarh"/>
    <x v="1"/>
    <s v="Keyboard"/>
    <s v="Keyboard"/>
    <s v="Meena"/>
    <s v="Corporate"/>
    <n v="6"/>
    <n v="6435"/>
    <n v="5"/>
    <n v="36679.5"/>
    <n v="4609.29"/>
  </r>
  <r>
    <s v="ORD00940"/>
    <s v="2026-06-05"/>
    <x v="1"/>
    <x v="0"/>
    <s v="West Bengal"/>
    <s v="Kolkata"/>
    <x v="2"/>
    <s v="Pen"/>
    <s v="Pen"/>
    <s v="Meena"/>
    <s v="Corporate"/>
    <n v="1"/>
    <n v="23430"/>
    <n v="0"/>
    <n v="23430"/>
    <n v="6387.32"/>
  </r>
  <r>
    <s v="ORD00941"/>
    <s v="2025-09-28"/>
    <x v="10"/>
    <x v="1"/>
    <s v="Tamil Nadu"/>
    <s v="Chennai"/>
    <x v="2"/>
    <s v="Notebook"/>
    <s v="Notebook"/>
    <s v="Amit"/>
    <s v="Retail"/>
    <n v="10"/>
    <n v="21134"/>
    <n v="5"/>
    <n v="200773"/>
    <n v="23229.54"/>
  </r>
  <r>
    <s v="ORD00942"/>
    <s v="2026-03-18"/>
    <x v="0"/>
    <x v="1"/>
    <s v="Karnataka"/>
    <s v="Bengaluru"/>
    <x v="0"/>
    <s v="Chair"/>
    <s v="Chair"/>
    <s v="Sneha"/>
    <s v="Corporate"/>
    <n v="8"/>
    <n v="37391"/>
    <n v="5"/>
    <n v="284171.59999999998"/>
    <n v="68652.91"/>
  </r>
  <r>
    <s v="ORD00943"/>
    <s v="2026-01-08"/>
    <x v="4"/>
    <x v="3"/>
    <s v="Maharashtra"/>
    <s v="Mumbai"/>
    <x v="1"/>
    <s v="Monitor"/>
    <s v="Monitor"/>
    <s v="Arun"/>
    <s v="Retail"/>
    <n v="2"/>
    <n v="11092"/>
    <n v="20"/>
    <n v="17747.2"/>
    <n v="4545.08"/>
  </r>
  <r>
    <s v="ORD00944"/>
    <s v="2025-07-27"/>
    <x v="5"/>
    <x v="2"/>
    <s v="Delhi"/>
    <s v="Delhi"/>
    <x v="2"/>
    <s v="Notebook"/>
    <s v="Notebook"/>
    <s v="Priya"/>
    <s v="Corporate"/>
    <n v="3"/>
    <n v="41651"/>
    <n v="5"/>
    <n v="118705.35"/>
    <n v="16420.11"/>
  </r>
  <r>
    <s v="ORD00945"/>
    <s v="2026-04-26"/>
    <x v="2"/>
    <x v="2"/>
    <s v="Delhi"/>
    <s v="Delhi"/>
    <x v="0"/>
    <s v="Chair"/>
    <s v="Chair"/>
    <s v="Sneha"/>
    <s v="Corporate"/>
    <n v="8"/>
    <n v="20352"/>
    <n v="10"/>
    <n v="146534.39999999999"/>
    <n v="40232.230000000003"/>
  </r>
  <r>
    <s v="ORD00946"/>
    <s v="2025-12-30"/>
    <x v="3"/>
    <x v="3"/>
    <s v="Gujarat"/>
    <s v="Ahmedabad"/>
    <x v="0"/>
    <s v="Table"/>
    <s v="Table"/>
    <s v="Arun"/>
    <s v="Retail"/>
    <n v="3"/>
    <n v="38197"/>
    <n v="0"/>
    <n v="114591"/>
    <n v="15979.34"/>
  </r>
  <r>
    <s v="ORD00947"/>
    <s v="2025-08-25"/>
    <x v="8"/>
    <x v="1"/>
    <s v="Tamil Nadu"/>
    <s v="Chennai"/>
    <x v="2"/>
    <s v="Pen"/>
    <s v="Pen"/>
    <s v="Sneha"/>
    <s v="Corporate"/>
    <n v="6"/>
    <n v="6220"/>
    <n v="0"/>
    <n v="37320"/>
    <n v="3322.13"/>
  </r>
  <r>
    <s v="ORD00948"/>
    <s v="2025-01-02"/>
    <x v="4"/>
    <x v="1"/>
    <s v="Karnataka"/>
    <s v="Bengaluru"/>
    <x v="1"/>
    <s v="Mobile"/>
    <s v="Mobile"/>
    <s v="Rahul"/>
    <s v="Retail"/>
    <n v="10"/>
    <n v="1214"/>
    <n v="0"/>
    <n v="12140"/>
    <n v="2015.44"/>
  </r>
  <r>
    <s v="ORD00949"/>
    <s v="2026-01-05"/>
    <x v="4"/>
    <x v="1"/>
    <s v="Karnataka"/>
    <s v="Bengaluru"/>
    <x v="0"/>
    <s v="Desk"/>
    <s v="Desk"/>
    <s v="Sneha"/>
    <s v="Corporate"/>
    <n v="7"/>
    <n v="8221"/>
    <n v="10"/>
    <n v="51792.3"/>
    <n v="15051.9"/>
  </r>
  <r>
    <s v="ORD00950"/>
    <s v="2025-11-22"/>
    <x v="7"/>
    <x v="1"/>
    <s v="Tamil Nadu"/>
    <s v="Chennai"/>
    <x v="0"/>
    <s v="Desk"/>
    <s v="Desk"/>
    <s v="Vicky"/>
    <s v="Retail"/>
    <n v="7"/>
    <n v="29626"/>
    <n v="15"/>
    <n v="176274.7"/>
    <n v="30418.89"/>
  </r>
  <r>
    <s v="ORD00951"/>
    <s v="2026-03-11"/>
    <x v="0"/>
    <x v="1"/>
    <s v="Tamil Nadu"/>
    <s v="Chennai"/>
    <x v="0"/>
    <s v="Chair"/>
    <s v="Chair"/>
    <s v="Priya"/>
    <s v="Retail"/>
    <n v="3"/>
    <n v="16927"/>
    <n v="0"/>
    <n v="50781"/>
    <n v="4603.54"/>
  </r>
  <r>
    <s v="ORD00952"/>
    <s v="2025-06-02"/>
    <x v="1"/>
    <x v="3"/>
    <s v="Maharashtra"/>
    <s v="Mumbai"/>
    <x v="1"/>
    <s v="Monitor"/>
    <s v="Monitor"/>
    <s v="John"/>
    <s v="Corporate"/>
    <n v="10"/>
    <n v="29482"/>
    <n v="5"/>
    <n v="280079"/>
    <n v="47848.22"/>
  </r>
  <r>
    <s v="ORD00953"/>
    <s v="2025-04-14"/>
    <x v="2"/>
    <x v="3"/>
    <s v="Maharashtra"/>
    <s v="Mumbai"/>
    <x v="1"/>
    <s v="Mobile"/>
    <s v="Mobile"/>
    <s v="Meena"/>
    <s v="Retail"/>
    <n v="4"/>
    <n v="23926"/>
    <n v="20"/>
    <n v="76563.199999999997"/>
    <n v="10963.3"/>
  </r>
  <r>
    <s v="ORD00954"/>
    <s v="2026-06-06"/>
    <x v="1"/>
    <x v="2"/>
    <s v="Delhi"/>
    <s v="Delhi"/>
    <x v="2"/>
    <s v="Notebook"/>
    <s v="Notebook"/>
    <s v="John"/>
    <s v="Retail"/>
    <n v="10"/>
    <n v="34170"/>
    <n v="0"/>
    <n v="341700"/>
    <n v="84254.13"/>
  </r>
  <r>
    <s v="ORD00955"/>
    <s v="2025-09-18"/>
    <x v="10"/>
    <x v="2"/>
    <s v="Chandigarh"/>
    <s v="Chandigarh"/>
    <x v="0"/>
    <s v="Chair"/>
    <s v="Chair"/>
    <s v="Arun"/>
    <s v="Corporate"/>
    <n v="5"/>
    <n v="4036"/>
    <n v="0"/>
    <n v="20180"/>
    <n v="2087.79"/>
  </r>
  <r>
    <s v="ORD00956"/>
    <s v="2026-02-28"/>
    <x v="9"/>
    <x v="3"/>
    <s v="Gujarat"/>
    <s v="Ahmedabad"/>
    <x v="1"/>
    <s v="Laptop"/>
    <s v="Laptop"/>
    <s v="Rahul"/>
    <s v="Retail"/>
    <n v="1"/>
    <n v="37292"/>
    <n v="0"/>
    <n v="37292"/>
    <n v="8911.7000000000007"/>
  </r>
  <r>
    <s v="ORD00957"/>
    <s v="2025-02-26"/>
    <x v="9"/>
    <x v="0"/>
    <s v="Odisha"/>
    <s v="Bhubaneswar"/>
    <x v="0"/>
    <s v="Table"/>
    <s v="Table"/>
    <s v="Rahul"/>
    <s v="Corporate"/>
    <n v="7"/>
    <n v="34403"/>
    <n v="0"/>
    <n v="240821"/>
    <n v="31822.25"/>
  </r>
  <r>
    <s v="ORD00958"/>
    <s v="2025-06-20"/>
    <x v="1"/>
    <x v="0"/>
    <s v="West Bengal"/>
    <s v="Kolkata"/>
    <x v="1"/>
    <s v="Laptop"/>
    <s v="Laptop"/>
    <s v="John"/>
    <s v="Corporate"/>
    <n v="1"/>
    <n v="28500"/>
    <n v="15"/>
    <n v="24225"/>
    <n v="5308.16"/>
  </r>
  <r>
    <s v="ORD00959"/>
    <s v="2025-07-11"/>
    <x v="5"/>
    <x v="1"/>
    <s v="Tamil Nadu"/>
    <s v="Chennai"/>
    <x v="1"/>
    <s v="Keyboard"/>
    <s v="Keyboard"/>
    <s v="Meena"/>
    <s v="Corporate"/>
    <n v="9"/>
    <n v="7426"/>
    <n v="15"/>
    <n v="56808.9"/>
    <n v="14423.52"/>
  </r>
  <r>
    <s v="ORD00960"/>
    <s v="2026-02-09"/>
    <x v="9"/>
    <x v="3"/>
    <s v="Maharashtra"/>
    <s v="Mumbai"/>
    <x v="0"/>
    <s v="Sofa"/>
    <s v="Sofa"/>
    <s v="Sneha"/>
    <s v="Retail"/>
    <n v="5"/>
    <n v="9561"/>
    <n v="15"/>
    <n v="40634.25"/>
    <n v="2931.8"/>
  </r>
  <r>
    <s v="ORD00961"/>
    <s v="2025-08-19"/>
    <x v="8"/>
    <x v="2"/>
    <s v="Chandigarh"/>
    <s v="Chandigarh"/>
    <x v="1"/>
    <s v="Monitor"/>
    <s v="Monitor"/>
    <s v="John"/>
    <s v="Corporate"/>
    <n v="5"/>
    <n v="13330"/>
    <n v="20"/>
    <n v="53320"/>
    <n v="6480.64"/>
  </r>
  <r>
    <s v="ORD00962"/>
    <s v="2025-03-27"/>
    <x v="0"/>
    <x v="3"/>
    <s v="Gujarat"/>
    <s v="Ahmedabad"/>
    <x v="2"/>
    <s v="Notebook"/>
    <s v="Notebook"/>
    <s v="Priya"/>
    <s v="Corporate"/>
    <n v="3"/>
    <n v="47743"/>
    <n v="20"/>
    <n v="114583.2"/>
    <n v="15404.06"/>
  </r>
  <r>
    <s v="ORD00963"/>
    <s v="2025-05-11"/>
    <x v="6"/>
    <x v="0"/>
    <s v="West Bengal"/>
    <s v="Kolkata"/>
    <x v="2"/>
    <s v="Stapler"/>
    <s v="Stapler"/>
    <s v="Sneha"/>
    <s v="Retail"/>
    <n v="10"/>
    <n v="211"/>
    <n v="10"/>
    <n v="1899"/>
    <n v="429.68"/>
  </r>
  <r>
    <s v="ORD00964"/>
    <s v="2026-03-04"/>
    <x v="0"/>
    <x v="3"/>
    <s v="Gujarat"/>
    <s v="Ahmedabad"/>
    <x v="0"/>
    <s v="Chair"/>
    <s v="Chair"/>
    <s v="Priya"/>
    <s v="Corporate"/>
    <n v="2"/>
    <n v="18605"/>
    <n v="0"/>
    <n v="37210"/>
    <n v="7647.75"/>
  </r>
  <r>
    <s v="ORD00965"/>
    <s v="2025-10-04"/>
    <x v="11"/>
    <x v="0"/>
    <s v="Odisha"/>
    <s v="Bhubaneswar"/>
    <x v="1"/>
    <s v="Laptop"/>
    <s v="Laptop"/>
    <s v="Priya"/>
    <s v="Retail"/>
    <n v="8"/>
    <n v="22009"/>
    <n v="20"/>
    <n v="140857.60000000001"/>
    <n v="26001.24"/>
  </r>
  <r>
    <s v="ORD00966"/>
    <s v="2025-12-22"/>
    <x v="3"/>
    <x v="0"/>
    <s v="West Bengal"/>
    <s v="Kolkata"/>
    <x v="1"/>
    <s v="Keyboard"/>
    <s v="Keyboard"/>
    <s v="Priya"/>
    <s v="Corporate"/>
    <n v="9"/>
    <n v="387"/>
    <n v="0"/>
    <n v="3483"/>
    <n v="254.08"/>
  </r>
  <r>
    <s v="ORD00967"/>
    <s v="2026-05-27"/>
    <x v="6"/>
    <x v="3"/>
    <s v="Maharashtra"/>
    <s v="Mumbai"/>
    <x v="2"/>
    <s v="Stapler"/>
    <s v="Stapler"/>
    <s v="Vicky"/>
    <s v="Corporate"/>
    <n v="9"/>
    <n v="30285"/>
    <n v="15"/>
    <n v="231680.25"/>
    <n v="68928.86"/>
  </r>
  <r>
    <s v="ORD00968"/>
    <s v="2025-02-13"/>
    <x v="9"/>
    <x v="0"/>
    <s v="Odisha"/>
    <s v="Bhubaneswar"/>
    <x v="1"/>
    <s v="Mobile"/>
    <s v="Mobile"/>
    <s v="Sneha"/>
    <s v="Retail"/>
    <n v="7"/>
    <n v="44794"/>
    <n v="10"/>
    <n v="282202.2"/>
    <n v="80750.7"/>
  </r>
  <r>
    <s v="ORD00969"/>
    <s v="2026-02-03"/>
    <x v="9"/>
    <x v="1"/>
    <s v="Tamil Nadu"/>
    <s v="Chennai"/>
    <x v="2"/>
    <s v="Notebook"/>
    <s v="Notebook"/>
    <s v="Rahul"/>
    <s v="Retail"/>
    <n v="4"/>
    <n v="6178"/>
    <n v="10"/>
    <n v="22240.799999999999"/>
    <n v="3499.25"/>
  </r>
  <r>
    <s v="ORD00970"/>
    <s v="2025-11-11"/>
    <x v="7"/>
    <x v="1"/>
    <s v="Tamil Nadu"/>
    <s v="Chennai"/>
    <x v="1"/>
    <s v="Mobile"/>
    <s v="Mobile"/>
    <s v="Priya"/>
    <s v="Corporate"/>
    <n v="4"/>
    <n v="12983"/>
    <n v="5"/>
    <n v="49335.4"/>
    <n v="6298.7"/>
  </r>
  <r>
    <s v="ORD00971"/>
    <s v="2026-03-06"/>
    <x v="0"/>
    <x v="2"/>
    <s v="Delhi"/>
    <s v="Delhi"/>
    <x v="2"/>
    <s v="Printer Paper"/>
    <s v="Printer Paper"/>
    <s v="Vicky"/>
    <s v="Corporate"/>
    <n v="3"/>
    <n v="34253"/>
    <n v="10"/>
    <n v="92483.1"/>
    <n v="20194.419999999998"/>
  </r>
  <r>
    <s v="ORD00972"/>
    <s v="2025-01-31"/>
    <x v="4"/>
    <x v="2"/>
    <s v="Chandigarh"/>
    <s v="Chandigarh"/>
    <x v="2"/>
    <s v="Notebook"/>
    <s v="Notebook"/>
    <s v="Amit"/>
    <s v="Corporate"/>
    <n v="5"/>
    <n v="48706"/>
    <n v="5"/>
    <n v="231353.5"/>
    <n v="21185.47"/>
  </r>
  <r>
    <s v="ORD00973"/>
    <s v="2025-04-10"/>
    <x v="2"/>
    <x v="2"/>
    <s v="Delhi"/>
    <s v="Delhi"/>
    <x v="2"/>
    <s v="Notebook"/>
    <s v="Notebook"/>
    <s v="Vicky"/>
    <s v="Retail"/>
    <n v="8"/>
    <n v="17154"/>
    <n v="5"/>
    <n v="130370.4"/>
    <n v="35187.440000000002"/>
  </r>
  <r>
    <s v="ORD00974"/>
    <s v="2025-08-12"/>
    <x v="8"/>
    <x v="1"/>
    <s v="Karnataka"/>
    <s v="Bengaluru"/>
    <x v="2"/>
    <s v="Printer Paper"/>
    <s v="Printer Paper"/>
    <s v="Rahul"/>
    <s v="Corporate"/>
    <n v="9"/>
    <n v="40665"/>
    <n v="20"/>
    <n v="292788"/>
    <n v="40789.25"/>
  </r>
  <r>
    <s v="ORD00975"/>
    <s v="2025-10-31"/>
    <x v="11"/>
    <x v="2"/>
    <s v="Chandigarh"/>
    <s v="Chandigarh"/>
    <x v="1"/>
    <s v="Mobile"/>
    <s v="Mobile"/>
    <s v="Vicky"/>
    <s v="Retail"/>
    <n v="9"/>
    <n v="10282"/>
    <n v="10"/>
    <n v="83284.2"/>
    <n v="22639.26"/>
  </r>
  <r>
    <s v="ORD00976"/>
    <s v="2025-03-19"/>
    <x v="0"/>
    <x v="3"/>
    <s v="Maharashtra"/>
    <s v="Mumbai"/>
    <x v="1"/>
    <s v="Laptop"/>
    <s v="Laptop"/>
    <s v="Arun"/>
    <s v="Corporate"/>
    <n v="9"/>
    <n v="46012"/>
    <n v="20"/>
    <n v="331286.40000000002"/>
    <n v="78832.13"/>
  </r>
  <r>
    <s v="ORD00977"/>
    <s v="2026-01-25"/>
    <x v="4"/>
    <x v="0"/>
    <s v="West Bengal"/>
    <s v="Kolkata"/>
    <x v="0"/>
    <s v="Table"/>
    <s v="Table"/>
    <s v="Rahul"/>
    <s v="Retail"/>
    <n v="8"/>
    <n v="10046"/>
    <n v="10"/>
    <n v="72331.199999999997"/>
    <n v="16261.62"/>
  </r>
  <r>
    <s v="ORD00978"/>
    <s v="2026-01-21"/>
    <x v="4"/>
    <x v="0"/>
    <s v="Odisha"/>
    <s v="Bhubaneswar"/>
    <x v="1"/>
    <s v="Laptop"/>
    <s v="Laptop"/>
    <s v="Meena"/>
    <s v="Corporate"/>
    <n v="7"/>
    <n v="15493"/>
    <n v="20"/>
    <n v="86760.8"/>
    <n v="18293.23"/>
  </r>
  <r>
    <s v="ORD00979"/>
    <s v="2025-09-03"/>
    <x v="10"/>
    <x v="2"/>
    <s v="Chandigarh"/>
    <s v="Chandigarh"/>
    <x v="1"/>
    <s v="Laptop"/>
    <s v="Laptop"/>
    <s v="Amit"/>
    <s v="Corporate"/>
    <n v="5"/>
    <n v="37201"/>
    <n v="5"/>
    <n v="176704.75"/>
    <n v="51472.77"/>
  </r>
  <r>
    <s v="ORD00980"/>
    <s v="2026-03-20"/>
    <x v="0"/>
    <x v="0"/>
    <s v="Odisha"/>
    <s v="Bhubaneswar"/>
    <x v="1"/>
    <s v="Monitor"/>
    <s v="Monitor"/>
    <s v="Amit"/>
    <s v="Corporate"/>
    <n v="2"/>
    <n v="39212"/>
    <n v="5"/>
    <n v="74502.8"/>
    <n v="14241.83"/>
  </r>
  <r>
    <s v="ORD00981"/>
    <s v="2025-07-04"/>
    <x v="5"/>
    <x v="0"/>
    <s v="Odisha"/>
    <s v="Bhubaneswar"/>
    <x v="2"/>
    <s v="Stapler"/>
    <s v="Stapler"/>
    <s v="Arun"/>
    <s v="Retail"/>
    <n v="3"/>
    <n v="22306"/>
    <n v="5"/>
    <n v="63572.1"/>
    <n v="17738.28"/>
  </r>
  <r>
    <s v="ORD00982"/>
    <s v="2025-10-29"/>
    <x v="11"/>
    <x v="0"/>
    <s v="Odisha"/>
    <s v="Bhubaneswar"/>
    <x v="2"/>
    <s v="Printer Paper"/>
    <s v="Printer Paper"/>
    <s v="Priya"/>
    <s v="Corporate"/>
    <n v="1"/>
    <n v="28766"/>
    <n v="0"/>
    <n v="28766"/>
    <n v="1543.14"/>
  </r>
  <r>
    <s v="ORD00983"/>
    <s v="2025-11-04"/>
    <x v="7"/>
    <x v="1"/>
    <s v="Tamil Nadu"/>
    <s v="Chennai"/>
    <x v="1"/>
    <s v="Keyboard"/>
    <s v="Keyboard"/>
    <s v="Amit"/>
    <s v="Retail"/>
    <n v="8"/>
    <n v="30992"/>
    <n v="5"/>
    <n v="235539.20000000001"/>
    <n v="40696.11"/>
  </r>
  <r>
    <s v="ORD00984"/>
    <s v="2025-12-26"/>
    <x v="3"/>
    <x v="0"/>
    <s v="West Bengal"/>
    <s v="Kolkata"/>
    <x v="0"/>
    <s v="Sofa"/>
    <s v="Sofa"/>
    <s v="Rahul"/>
    <s v="Retail"/>
    <n v="9"/>
    <n v="5993"/>
    <n v="20"/>
    <n v="43149.599999999999"/>
    <n v="7327.04"/>
  </r>
  <r>
    <s v="ORD00985"/>
    <s v="2025-02-20"/>
    <x v="9"/>
    <x v="3"/>
    <s v="Maharashtra"/>
    <s v="Mumbai"/>
    <x v="1"/>
    <s v="Keyboard"/>
    <s v="Keyboard"/>
    <s v="Arun"/>
    <s v="Retail"/>
    <n v="10"/>
    <n v="22783"/>
    <n v="15"/>
    <n v="193655.5"/>
    <n v="19882.04"/>
  </r>
  <r>
    <s v="ORD00986"/>
    <s v="2026-06-20"/>
    <x v="1"/>
    <x v="1"/>
    <s v="Tamil Nadu"/>
    <s v="Chennai"/>
    <x v="1"/>
    <s v="Monitor"/>
    <s v="Monitor"/>
    <s v="Sneha"/>
    <s v="Retail"/>
    <n v="2"/>
    <n v="43120"/>
    <n v="5"/>
    <n v="81928"/>
    <n v="16696.740000000002"/>
  </r>
  <r>
    <s v="ORD00987"/>
    <s v="2025-01-28"/>
    <x v="4"/>
    <x v="1"/>
    <s v="Karnataka"/>
    <s v="Bengaluru"/>
    <x v="1"/>
    <s v="Monitor"/>
    <s v="Monitor"/>
    <s v="Priya"/>
    <s v="Retail"/>
    <n v="3"/>
    <n v="28643"/>
    <n v="15"/>
    <n v="73039.649999999994"/>
    <n v="12096.39"/>
  </r>
  <r>
    <s v="ORD00988"/>
    <s v="2026-03-09"/>
    <x v="0"/>
    <x v="2"/>
    <s v="Delhi"/>
    <s v="Delhi"/>
    <x v="1"/>
    <s v="Monitor"/>
    <s v="Monitor"/>
    <s v="Rahul"/>
    <s v="Corporate"/>
    <n v="10"/>
    <n v="22270"/>
    <n v="15"/>
    <n v="189295"/>
    <n v="17438.830000000002"/>
  </r>
  <r>
    <s v="ORD00989"/>
    <s v="2026-03-03"/>
    <x v="0"/>
    <x v="3"/>
    <s v="Maharashtra"/>
    <s v="Mumbai"/>
    <x v="1"/>
    <s v="Mobile"/>
    <s v="Mobile"/>
    <s v="Vicky"/>
    <s v="Retail"/>
    <n v="3"/>
    <n v="40387"/>
    <n v="15"/>
    <n v="102986.85"/>
    <n v="29586.880000000001"/>
  </r>
  <r>
    <s v="ORD00990"/>
    <s v="2026-05-01"/>
    <x v="6"/>
    <x v="3"/>
    <s v="Maharashtra"/>
    <s v="Mumbai"/>
    <x v="0"/>
    <s v="Desk"/>
    <s v="Desk"/>
    <s v="Meena"/>
    <s v="Retail"/>
    <n v="4"/>
    <n v="16105"/>
    <n v="20"/>
    <n v="51536"/>
    <n v="9632.14"/>
  </r>
  <r>
    <s v="ORD00991"/>
    <s v="2025-01-12"/>
    <x v="4"/>
    <x v="1"/>
    <s v="Tamil Nadu"/>
    <s v="Chennai"/>
    <x v="2"/>
    <s v="Notebook"/>
    <s v="Notebook"/>
    <s v="Priya"/>
    <s v="Corporate"/>
    <n v="5"/>
    <n v="28591"/>
    <n v="5"/>
    <n v="135807.25"/>
    <n v="11815.97"/>
  </r>
  <r>
    <s v="ORD00992"/>
    <s v="2026-02-26"/>
    <x v="9"/>
    <x v="1"/>
    <s v="Karnataka"/>
    <s v="Bengaluru"/>
    <x v="0"/>
    <s v="Desk"/>
    <s v="Desk"/>
    <s v="Meena"/>
    <s v="Corporate"/>
    <n v="5"/>
    <n v="25820"/>
    <n v="15"/>
    <n v="109735"/>
    <n v="20126.72"/>
  </r>
  <r>
    <s v="ORD00993"/>
    <s v="2026-05-13"/>
    <x v="6"/>
    <x v="1"/>
    <s v="Tamil Nadu"/>
    <s v="Chennai"/>
    <x v="0"/>
    <s v="Desk"/>
    <s v="Desk"/>
    <s v="Arun"/>
    <s v="Corporate"/>
    <n v="3"/>
    <n v="34429"/>
    <n v="5"/>
    <n v="98122.65"/>
    <n v="11634.33"/>
  </r>
  <r>
    <s v="ORD00994"/>
    <s v="2025-08-03"/>
    <x v="8"/>
    <x v="3"/>
    <s v="Gujarat"/>
    <s v="Ahmedabad"/>
    <x v="1"/>
    <s v="Mobile"/>
    <s v="Mobile"/>
    <s v="Rahul"/>
    <s v="Corporate"/>
    <n v="4"/>
    <n v="4113"/>
    <n v="0"/>
    <n v="16452"/>
    <n v="1445.95"/>
  </r>
  <r>
    <s v="ORD00995"/>
    <s v="2026-05-29"/>
    <x v="6"/>
    <x v="2"/>
    <s v="Delhi"/>
    <s v="Delhi"/>
    <x v="1"/>
    <s v="Mobile"/>
    <s v="Mobile"/>
    <s v="John"/>
    <s v="Corporate"/>
    <n v="7"/>
    <n v="42928"/>
    <n v="15"/>
    <n v="255421.6"/>
    <n v="56334.559999999998"/>
  </r>
  <r>
    <s v="ORD00996"/>
    <s v="2025-03-14"/>
    <x v="0"/>
    <x v="2"/>
    <s v="Delhi"/>
    <s v="Delhi"/>
    <x v="2"/>
    <s v="Pen"/>
    <s v="Pen"/>
    <s v="Arun"/>
    <s v="Corporate"/>
    <n v="6"/>
    <n v="5201"/>
    <n v="20"/>
    <n v="24964.799999999999"/>
    <n v="2373.62"/>
  </r>
  <r>
    <s v="ORD00997"/>
    <s v="2026-02-09"/>
    <x v="9"/>
    <x v="2"/>
    <s v="Chandigarh"/>
    <s v="Chandigarh"/>
    <x v="0"/>
    <s v="Sofa"/>
    <s v="Sofa"/>
    <s v="Arun"/>
    <s v="Corporate"/>
    <n v="10"/>
    <n v="4272"/>
    <n v="15"/>
    <n v="36312"/>
    <n v="10015.83"/>
  </r>
  <r>
    <s v="ORD00998"/>
    <s v="2025-06-23"/>
    <x v="1"/>
    <x v="0"/>
    <s v="West Bengal"/>
    <s v="Kolkata"/>
    <x v="0"/>
    <s v="Chair"/>
    <s v="Chair"/>
    <s v="Rahul"/>
    <s v="Retail"/>
    <n v="9"/>
    <n v="31916"/>
    <n v="10"/>
    <n v="258519.6"/>
    <n v="66821.289999999994"/>
  </r>
  <r>
    <s v="ORD00999"/>
    <s v="2025-01-20"/>
    <x v="4"/>
    <x v="3"/>
    <s v="Gujarat"/>
    <s v="Ahmedabad"/>
    <x v="0"/>
    <s v="Sofa"/>
    <s v="Sofa"/>
    <s v="Vicky"/>
    <s v="Corporate"/>
    <n v="4"/>
    <n v="10277"/>
    <n v="20"/>
    <n v="32886.400000000001"/>
    <n v="8366.16"/>
  </r>
  <r>
    <s v="ORD01000"/>
    <s v="2025-03-16"/>
    <x v="0"/>
    <x v="0"/>
    <s v="Odisha"/>
    <s v="Bhubaneswar"/>
    <x v="0"/>
    <s v="Table"/>
    <s v="Table"/>
    <s v="Priya"/>
    <s v="Corporate"/>
    <n v="10"/>
    <n v="3194"/>
    <n v="20"/>
    <n v="25552"/>
    <n v="6487.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00ECB-9612-4466-8794-CC8AD92E18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gion">
  <location ref="A3:B8" firstHeaderRow="1" firstDataRow="1" firstDataCol="1"/>
  <pivotFields count="15"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Sales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8D37A-CBD4-4467-862B-340433BF87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5038D-54B9-4FFF-A0C7-4AD868642B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6"/>
        <item x="2"/>
        <item x="0"/>
        <item x="4"/>
        <item x="1"/>
        <item x="7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8"/>
  </rowFields>
  <rowItems count="9">
    <i>
      <x v="3"/>
    </i>
    <i>
      <x v="1"/>
    </i>
    <i>
      <x v="2"/>
    </i>
    <i>
      <x v="7"/>
    </i>
    <i>
      <x v="4"/>
    </i>
    <i>
      <x v="5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958AA-9095-46ED-B07A-B233983F7D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15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461">
        <item x="375"/>
        <item x="448"/>
        <item x="277"/>
        <item x="142"/>
        <item x="359"/>
        <item x="255"/>
        <item x="176"/>
        <item x="149"/>
        <item x="79"/>
        <item x="152"/>
        <item x="170"/>
        <item x="148"/>
        <item x="179"/>
        <item x="318"/>
        <item x="348"/>
        <item x="265"/>
        <item x="70"/>
        <item x="37"/>
        <item x="204"/>
        <item x="126"/>
        <item x="100"/>
        <item x="186"/>
        <item x="329"/>
        <item x="296"/>
        <item x="22"/>
        <item x="456"/>
        <item x="438"/>
        <item x="256"/>
        <item x="109"/>
        <item x="198"/>
        <item x="405"/>
        <item x="44"/>
        <item x="303"/>
        <item x="398"/>
        <item x="21"/>
        <item x="272"/>
        <item x="132"/>
        <item x="380"/>
        <item x="57"/>
        <item x="393"/>
        <item x="77"/>
        <item x="135"/>
        <item x="445"/>
        <item x="138"/>
        <item x="15"/>
        <item x="206"/>
        <item x="360"/>
        <item x="158"/>
        <item x="321"/>
        <item x="54"/>
        <item x="190"/>
        <item x="451"/>
        <item x="358"/>
        <item x="292"/>
        <item x="345"/>
        <item x="395"/>
        <item x="230"/>
        <item x="3"/>
        <item x="83"/>
        <item x="127"/>
        <item x="124"/>
        <item x="20"/>
        <item x="58"/>
        <item x="171"/>
        <item x="191"/>
        <item x="5"/>
        <item x="442"/>
        <item x="67"/>
        <item x="240"/>
        <item x="6"/>
        <item x="354"/>
        <item x="24"/>
        <item x="222"/>
        <item x="389"/>
        <item x="407"/>
        <item x="419"/>
        <item x="386"/>
        <item x="32"/>
        <item x="370"/>
        <item x="266"/>
        <item x="112"/>
        <item x="336"/>
        <item x="93"/>
        <item x="339"/>
        <item x="45"/>
        <item x="346"/>
        <item x="150"/>
        <item x="225"/>
        <item x="115"/>
        <item x="133"/>
        <item x="351"/>
        <item x="427"/>
        <item x="38"/>
        <item x="178"/>
        <item x="56"/>
        <item x="449"/>
        <item x="242"/>
        <item x="430"/>
        <item x="197"/>
        <item x="326"/>
        <item x="331"/>
        <item x="59"/>
        <item x="333"/>
        <item x="362"/>
        <item x="194"/>
        <item x="123"/>
        <item x="244"/>
        <item x="444"/>
        <item x="125"/>
        <item x="426"/>
        <item x="106"/>
        <item x="174"/>
        <item x="263"/>
        <item x="342"/>
        <item x="437"/>
        <item x="320"/>
        <item x="233"/>
        <item x="403"/>
        <item x="11"/>
        <item x="283"/>
        <item x="282"/>
        <item x="364"/>
        <item x="317"/>
        <item x="40"/>
        <item x="239"/>
        <item x="73"/>
        <item x="287"/>
        <item x="63"/>
        <item x="441"/>
        <item x="95"/>
        <item x="377"/>
        <item x="378"/>
        <item x="4"/>
        <item x="114"/>
        <item x="187"/>
        <item x="202"/>
        <item x="113"/>
        <item x="433"/>
        <item x="308"/>
        <item x="226"/>
        <item x="330"/>
        <item x="223"/>
        <item x="131"/>
        <item x="399"/>
        <item x="119"/>
        <item x="254"/>
        <item x="257"/>
        <item x="246"/>
        <item x="288"/>
        <item x="270"/>
        <item x="129"/>
        <item x="120"/>
        <item x="211"/>
        <item x="10"/>
        <item x="372"/>
        <item x="228"/>
        <item x="443"/>
        <item x="105"/>
        <item x="428"/>
        <item x="103"/>
        <item x="121"/>
        <item x="102"/>
        <item x="207"/>
        <item x="201"/>
        <item x="332"/>
        <item x="81"/>
        <item x="337"/>
        <item x="431"/>
        <item x="136"/>
        <item x="387"/>
        <item x="209"/>
        <item x="203"/>
        <item x="275"/>
        <item x="374"/>
        <item x="273"/>
        <item x="415"/>
        <item x="459"/>
        <item x="111"/>
        <item x="258"/>
        <item x="269"/>
        <item x="409"/>
        <item x="166"/>
        <item x="177"/>
        <item x="110"/>
        <item x="234"/>
        <item x="391"/>
        <item x="341"/>
        <item x="76"/>
        <item x="147"/>
        <item x="452"/>
        <item x="13"/>
        <item x="151"/>
        <item x="104"/>
        <item x="18"/>
        <item x="188"/>
        <item x="281"/>
        <item x="418"/>
        <item x="50"/>
        <item x="227"/>
        <item x="310"/>
        <item x="185"/>
        <item x="290"/>
        <item x="285"/>
        <item x="182"/>
        <item x="16"/>
        <item x="49"/>
        <item x="165"/>
        <item x="344"/>
        <item x="27"/>
        <item x="241"/>
        <item x="309"/>
        <item x="128"/>
        <item x="168"/>
        <item x="379"/>
        <item x="261"/>
        <item x="271"/>
        <item x="260"/>
        <item x="450"/>
        <item x="141"/>
        <item x="221"/>
        <item x="410"/>
        <item x="365"/>
        <item x="41"/>
        <item x="229"/>
        <item x="156"/>
        <item x="196"/>
        <item x="327"/>
        <item x="300"/>
        <item x="396"/>
        <item x="408"/>
        <item x="253"/>
        <item x="62"/>
        <item x="212"/>
        <item x="249"/>
        <item x="85"/>
        <item x="312"/>
        <item x="87"/>
        <item x="420"/>
        <item x="17"/>
        <item x="367"/>
        <item x="116"/>
        <item x="91"/>
        <item x="53"/>
        <item x="319"/>
        <item x="55"/>
        <item x="74"/>
        <item x="134"/>
        <item x="338"/>
        <item x="304"/>
        <item x="352"/>
        <item x="237"/>
        <item x="216"/>
        <item x="343"/>
        <item x="118"/>
        <item x="224"/>
        <item x="250"/>
        <item x="400"/>
        <item x="302"/>
        <item x="19"/>
        <item x="30"/>
        <item x="404"/>
        <item x="72"/>
        <item x="381"/>
        <item x="12"/>
        <item x="101"/>
        <item x="122"/>
        <item x="160"/>
        <item x="48"/>
        <item x="192"/>
        <item x="289"/>
        <item x="357"/>
        <item x="423"/>
        <item x="413"/>
        <item x="80"/>
        <item x="368"/>
        <item x="92"/>
        <item x="435"/>
        <item x="181"/>
        <item x="7"/>
        <item x="262"/>
        <item x="236"/>
        <item x="334"/>
        <item x="219"/>
        <item x="78"/>
        <item x="214"/>
        <item x="153"/>
        <item x="243"/>
        <item x="71"/>
        <item x="392"/>
        <item x="231"/>
        <item x="355"/>
        <item x="252"/>
        <item x="313"/>
        <item x="39"/>
        <item x="294"/>
        <item x="286"/>
        <item x="25"/>
        <item x="195"/>
        <item x="75"/>
        <item x="139"/>
        <item x="26"/>
        <item x="46"/>
        <item x="175"/>
        <item x="145"/>
        <item x="36"/>
        <item x="366"/>
        <item x="117"/>
        <item x="33"/>
        <item x="220"/>
        <item x="210"/>
        <item x="447"/>
        <item x="157"/>
        <item x="155"/>
        <item x="390"/>
        <item x="213"/>
        <item x="316"/>
        <item x="8"/>
        <item x="414"/>
        <item x="384"/>
        <item x="297"/>
        <item x="353"/>
        <item x="307"/>
        <item x="455"/>
        <item x="143"/>
        <item x="328"/>
        <item x="454"/>
        <item x="436"/>
        <item x="172"/>
        <item x="64"/>
        <item x="199"/>
        <item x="161"/>
        <item x="453"/>
        <item x="363"/>
        <item x="235"/>
        <item x="28"/>
        <item x="31"/>
        <item x="189"/>
        <item x="43"/>
        <item x="84"/>
        <item x="14"/>
        <item x="306"/>
        <item x="305"/>
        <item x="205"/>
        <item x="267"/>
        <item x="163"/>
        <item x="154"/>
        <item x="325"/>
        <item x="251"/>
        <item x="299"/>
        <item x="97"/>
        <item x="217"/>
        <item x="276"/>
        <item x="458"/>
        <item x="422"/>
        <item x="169"/>
        <item x="314"/>
        <item x="248"/>
        <item x="457"/>
        <item x="411"/>
        <item x="268"/>
        <item x="159"/>
        <item x="164"/>
        <item x="146"/>
        <item x="324"/>
        <item x="183"/>
        <item x="383"/>
        <item x="432"/>
        <item x="397"/>
        <item x="0"/>
        <item x="293"/>
        <item x="107"/>
        <item x="42"/>
        <item x="446"/>
        <item x="98"/>
        <item x="416"/>
        <item x="394"/>
        <item x="208"/>
        <item x="23"/>
        <item x="140"/>
        <item x="167"/>
        <item x="89"/>
        <item x="51"/>
        <item x="52"/>
        <item x="335"/>
        <item x="440"/>
        <item x="382"/>
        <item x="388"/>
        <item x="376"/>
        <item x="412"/>
        <item x="245"/>
        <item x="401"/>
        <item x="371"/>
        <item x="108"/>
        <item x="200"/>
        <item x="279"/>
        <item x="9"/>
        <item x="68"/>
        <item x="417"/>
        <item x="247"/>
        <item x="99"/>
        <item x="162"/>
        <item x="298"/>
        <item x="274"/>
        <item x="369"/>
        <item x="47"/>
        <item x="96"/>
        <item x="180"/>
        <item x="69"/>
        <item x="2"/>
        <item x="424"/>
        <item x="232"/>
        <item x="60"/>
        <item x="130"/>
        <item x="137"/>
        <item x="184"/>
        <item x="34"/>
        <item x="385"/>
        <item x="88"/>
        <item x="86"/>
        <item x="280"/>
        <item x="349"/>
        <item x="406"/>
        <item x="61"/>
        <item x="350"/>
        <item x="94"/>
        <item x="29"/>
        <item x="425"/>
        <item x="82"/>
        <item x="65"/>
        <item x="373"/>
        <item x="323"/>
        <item x="361"/>
        <item x="340"/>
        <item x="421"/>
        <item x="315"/>
        <item x="66"/>
        <item x="193"/>
        <item x="301"/>
        <item x="238"/>
        <item x="322"/>
        <item x="173"/>
        <item x="90"/>
        <item x="402"/>
        <item x="347"/>
        <item x="35"/>
        <item x="218"/>
        <item x="278"/>
        <item x="144"/>
        <item x="311"/>
        <item x="439"/>
        <item x="291"/>
        <item x="356"/>
        <item x="295"/>
        <item x="259"/>
        <item x="215"/>
        <item x="284"/>
        <item x="1"/>
        <item x="434"/>
        <item x="429"/>
        <item x="2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9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Count of Order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FBD25-6D11-48FB-B3C6-651DC2D12E4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6">
    <pivotField showAll="0"/>
    <pivotField showAll="0"/>
    <pivotField axis="axisRow" showAll="0" sortType="descending">
      <items count="13">
        <item x="4"/>
        <item x="9"/>
        <item x="0"/>
        <item x="2"/>
        <item x="6"/>
        <item x="1"/>
        <item x="5"/>
        <item x="8"/>
        <item x="10"/>
        <item x="1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3">
    <i>
      <x v="4"/>
    </i>
    <i>
      <x v="2"/>
    </i>
    <i>
      <x v="1"/>
    </i>
    <i>
      <x v="3"/>
    </i>
    <i>
      <x/>
    </i>
    <i>
      <x v="5"/>
    </i>
    <i>
      <x v="8"/>
    </i>
    <i>
      <x v="11"/>
    </i>
    <i>
      <x v="10"/>
    </i>
    <i>
      <x v="9"/>
    </i>
    <i>
      <x v="6"/>
    </i>
    <i>
      <x v="7"/>
    </i>
    <i t="grand">
      <x/>
    </i>
  </rowItems>
  <colItems count="1">
    <i/>
  </colItems>
  <dataFields count="1">
    <dataField name="Sum of Sales" fld="1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CA1BB-1C4D-4E26-8EC9-DB926735FD7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0" firstHeaderRow="1" firstDataRow="1" firstDataCol="1"/>
  <pivotFields count="16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6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1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938DC-F496-4FB4-880B-02096279F637}" name="Table1" displayName="Table1" ref="A1:P1001" totalsRowShown="0" headerRowDxfId="19" headerRowBorderDxfId="18" tableBorderDxfId="17" totalsRowBorderDxfId="16">
  <autoFilter ref="A1:P1001" xr:uid="{00000000-0001-0000-0000-000000000000}"/>
  <tableColumns count="16">
    <tableColumn id="1" xr3:uid="{8198FF88-C803-4084-A302-8C573C4EA1A0}" name="Order_ID" dataDxfId="15"/>
    <tableColumn id="2" xr3:uid="{16B4973E-37F9-444C-AA87-ACDCFE21DB42}" name="Order_Date" dataDxfId="14"/>
    <tableColumn id="3" xr3:uid="{A35DE55B-3111-4639-99E2-11457049917B}" name="Months" dataDxfId="13">
      <calculatedColumnFormula>TEXT(B2,"mmmm")</calculatedColumnFormula>
    </tableColumn>
    <tableColumn id="4" xr3:uid="{82652A49-5457-4A44-9932-336A3A9F3821}" name="Region" dataDxfId="12"/>
    <tableColumn id="5" xr3:uid="{D930ED46-A650-44E8-BD4E-D0CB0451FB13}" name="State" dataDxfId="11"/>
    <tableColumn id="6" xr3:uid="{88137C37-D8CE-4F9B-8F3C-170D49E0D592}" name="City" dataDxfId="10"/>
    <tableColumn id="7" xr3:uid="{441B11EC-6C11-4254-A5D2-57BF51BF3E7E}" name="Category" dataDxfId="9"/>
    <tableColumn id="8" xr3:uid="{FA90F2E1-F16D-4913-B283-9DA0736085DD}" name="Sub_Category" dataDxfId="8"/>
    <tableColumn id="9" xr3:uid="{DCC77420-BFEB-482D-9C45-E81FCF561E49}" name="Product" dataDxfId="7"/>
    <tableColumn id="10" xr3:uid="{DF5C28ED-2DFB-4D6F-880E-FB64DF4EF241}" name="Salesperson" dataDxfId="6"/>
    <tableColumn id="11" xr3:uid="{19BF457D-F5D3-4D97-A681-16BF72C81A80}" name="Customer_Type" dataDxfId="5"/>
    <tableColumn id="12" xr3:uid="{DE70A19A-0CE3-4F9A-BE07-826CE12C08B2}" name="Quantity" dataDxfId="4"/>
    <tableColumn id="13" xr3:uid="{23DE3A58-B9C9-451C-A899-03CAC8F258C4}" name="Unit_Price" dataDxfId="3"/>
    <tableColumn id="14" xr3:uid="{EAA7AEA4-F6C2-49F6-BD58-85668E136276}" name="Discount_%" dataDxfId="2"/>
    <tableColumn id="15" xr3:uid="{4FF94EBE-968D-45D1-B949-E145DC6D2485}" name="Sales" dataDxfId="1"/>
    <tableColumn id="16" xr3:uid="{C2701112-215D-423C-8A84-EFBBA84C0F43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2DFD-F3C7-4A82-8FDB-A415586A5247}">
  <dimension ref="A3:B8"/>
  <sheetViews>
    <sheetView workbookViewId="0">
      <selection activeCell="J24" sqref="J24"/>
    </sheetView>
  </sheetViews>
  <sheetFormatPr defaultRowHeight="14.4" x14ac:dyDescent="0.3"/>
  <cols>
    <col min="1" max="1" width="10.6640625" bestFit="1" customWidth="1"/>
    <col min="2" max="2" width="12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2</v>
      </c>
      <c r="B4">
        <v>34064971.500000022</v>
      </c>
    </row>
    <row r="5" spans="1:2" x14ac:dyDescent="0.3">
      <c r="A5" s="4" t="s">
        <v>3</v>
      </c>
      <c r="B5">
        <v>32499353.150000013</v>
      </c>
    </row>
    <row r="6" spans="1:2" x14ac:dyDescent="0.3">
      <c r="A6" s="4" t="s">
        <v>4</v>
      </c>
      <c r="B6">
        <v>31742501.899999987</v>
      </c>
    </row>
    <row r="7" spans="1:2" x14ac:dyDescent="0.3">
      <c r="A7" s="4" t="s">
        <v>5</v>
      </c>
      <c r="B7">
        <v>28162107.149999995</v>
      </c>
    </row>
    <row r="8" spans="1:2" x14ac:dyDescent="0.3">
      <c r="A8" s="4" t="s">
        <v>6</v>
      </c>
      <c r="B8">
        <v>126468933.7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27C9-FD46-4D90-8250-C3F939EB447A}">
  <dimension ref="A3:B7"/>
  <sheetViews>
    <sheetView workbookViewId="0">
      <selection activeCell="P11" sqref="P11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3" t="s">
        <v>7</v>
      </c>
      <c r="B3" t="s">
        <v>1</v>
      </c>
    </row>
    <row r="4" spans="1:2" x14ac:dyDescent="0.3">
      <c r="A4" s="4" t="s">
        <v>8</v>
      </c>
      <c r="B4">
        <v>45197627.249999985</v>
      </c>
    </row>
    <row r="5" spans="1:2" x14ac:dyDescent="0.3">
      <c r="A5" s="4" t="s">
        <v>9</v>
      </c>
      <c r="B5">
        <v>42713774.650000028</v>
      </c>
    </row>
    <row r="6" spans="1:2" x14ac:dyDescent="0.3">
      <c r="A6" s="4" t="s">
        <v>10</v>
      </c>
      <c r="B6">
        <v>38557531.800000019</v>
      </c>
    </row>
    <row r="7" spans="1:2" x14ac:dyDescent="0.3">
      <c r="A7" s="4" t="s">
        <v>6</v>
      </c>
      <c r="B7">
        <v>126468933.70000003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4770-A08D-4513-B8FC-69E95EE833CC}">
  <dimension ref="A3:C12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3" t="s">
        <v>7</v>
      </c>
      <c r="B3" t="s">
        <v>1</v>
      </c>
      <c r="C3" t="s">
        <v>11</v>
      </c>
    </row>
    <row r="4" spans="1:3" x14ac:dyDescent="0.3">
      <c r="A4" s="4" t="s">
        <v>12</v>
      </c>
      <c r="B4">
        <v>19207698.949999999</v>
      </c>
      <c r="C4">
        <v>3331351.6300000004</v>
      </c>
    </row>
    <row r="5" spans="1:3" x14ac:dyDescent="0.3">
      <c r="A5" s="4" t="s">
        <v>13</v>
      </c>
      <c r="B5">
        <v>16895887.800000001</v>
      </c>
      <c r="C5">
        <v>2966286.9000000013</v>
      </c>
    </row>
    <row r="6" spans="1:3" x14ac:dyDescent="0.3">
      <c r="A6" s="4" t="s">
        <v>14</v>
      </c>
      <c r="B6">
        <v>16611725.300000006</v>
      </c>
      <c r="C6">
        <v>2914221.43</v>
      </c>
    </row>
    <row r="7" spans="1:3" x14ac:dyDescent="0.3">
      <c r="A7" s="4" t="s">
        <v>15</v>
      </c>
      <c r="B7">
        <v>16096978.500000004</v>
      </c>
      <c r="C7">
        <v>2911572.1999999983</v>
      </c>
    </row>
    <row r="8" spans="1:3" x14ac:dyDescent="0.3">
      <c r="A8" s="4" t="s">
        <v>16</v>
      </c>
      <c r="B8">
        <v>17071608.549999993</v>
      </c>
      <c r="C8">
        <v>2895415.1100000017</v>
      </c>
    </row>
    <row r="9" spans="1:3" x14ac:dyDescent="0.3">
      <c r="A9" s="4" t="s">
        <v>17</v>
      </c>
      <c r="B9">
        <v>14619753.599999992</v>
      </c>
      <c r="C9">
        <v>2707513.6100000008</v>
      </c>
    </row>
    <row r="10" spans="1:3" x14ac:dyDescent="0.3">
      <c r="A10" s="4" t="s">
        <v>18</v>
      </c>
      <c r="B10">
        <v>12373083.649999997</v>
      </c>
      <c r="C10">
        <v>2418150.9600000009</v>
      </c>
    </row>
    <row r="11" spans="1:3" x14ac:dyDescent="0.3">
      <c r="A11" s="4" t="s">
        <v>19</v>
      </c>
      <c r="B11">
        <v>13592197.349999998</v>
      </c>
      <c r="C11">
        <v>2262208.33</v>
      </c>
    </row>
    <row r="12" spans="1:3" x14ac:dyDescent="0.3">
      <c r="A12" s="4" t="s">
        <v>6</v>
      </c>
      <c r="B12">
        <v>126468933.69999999</v>
      </c>
      <c r="C12">
        <v>22406720.170000006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7D5B-EE7A-429A-8F5F-1DEE56463B0B}">
  <dimension ref="A3:C6"/>
  <sheetViews>
    <sheetView topLeftCell="A12" workbookViewId="0">
      <selection activeCell="E37" sqref="E37:E44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6.44140625" bestFit="1" customWidth="1"/>
  </cols>
  <sheetData>
    <row r="3" spans="1:3" x14ac:dyDescent="0.3">
      <c r="A3" s="3" t="s">
        <v>7</v>
      </c>
      <c r="B3" t="s">
        <v>1</v>
      </c>
      <c r="C3" t="s">
        <v>20</v>
      </c>
    </row>
    <row r="4" spans="1:3" x14ac:dyDescent="0.3">
      <c r="A4" s="4" t="s">
        <v>21</v>
      </c>
      <c r="B4">
        <v>66359624.75000003</v>
      </c>
      <c r="C4">
        <v>516</v>
      </c>
    </row>
    <row r="5" spans="1:3" x14ac:dyDescent="0.3">
      <c r="A5" s="4" t="s">
        <v>22</v>
      </c>
      <c r="B5">
        <v>60109308.950000003</v>
      </c>
      <c r="C5">
        <v>484</v>
      </c>
    </row>
    <row r="6" spans="1:3" x14ac:dyDescent="0.3">
      <c r="A6" s="4" t="s">
        <v>6</v>
      </c>
      <c r="B6">
        <v>126468933.69999991</v>
      </c>
      <c r="C6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4A9C-2CB5-4E1D-A727-0C45248F4715}">
  <dimension ref="A3:B16"/>
  <sheetViews>
    <sheetView workbookViewId="0">
      <selection activeCell="P22" sqref="P2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7</v>
      </c>
      <c r="B3" t="s">
        <v>1</v>
      </c>
    </row>
    <row r="4" spans="1:2" x14ac:dyDescent="0.3">
      <c r="A4" s="4" t="s">
        <v>23</v>
      </c>
      <c r="B4">
        <v>16263166.750000002</v>
      </c>
    </row>
    <row r="5" spans="1:2" x14ac:dyDescent="0.3">
      <c r="A5" s="4" t="s">
        <v>24</v>
      </c>
      <c r="B5">
        <v>15028953.800000001</v>
      </c>
    </row>
    <row r="6" spans="1:2" x14ac:dyDescent="0.3">
      <c r="A6" s="4" t="s">
        <v>25</v>
      </c>
      <c r="B6">
        <v>15001411.999999998</v>
      </c>
    </row>
    <row r="7" spans="1:2" x14ac:dyDescent="0.3">
      <c r="A7" s="4" t="s">
        <v>26</v>
      </c>
      <c r="B7">
        <v>13676856.899999999</v>
      </c>
    </row>
    <row r="8" spans="1:2" x14ac:dyDescent="0.3">
      <c r="A8" s="4" t="s">
        <v>27</v>
      </c>
      <c r="B8">
        <v>12739857.35</v>
      </c>
    </row>
    <row r="9" spans="1:2" x14ac:dyDescent="0.3">
      <c r="A9" s="4" t="s">
        <v>28</v>
      </c>
      <c r="B9">
        <v>11757643.600000001</v>
      </c>
    </row>
    <row r="10" spans="1:2" x14ac:dyDescent="0.3">
      <c r="A10" s="4" t="s">
        <v>29</v>
      </c>
      <c r="B10">
        <v>8018128.7499999981</v>
      </c>
    </row>
    <row r="11" spans="1:2" x14ac:dyDescent="0.3">
      <c r="A11" s="4" t="s">
        <v>30</v>
      </c>
      <c r="B11">
        <v>7768906.3999999994</v>
      </c>
    </row>
    <row r="12" spans="1:2" x14ac:dyDescent="0.3">
      <c r="A12" s="4" t="s">
        <v>31</v>
      </c>
      <c r="B12">
        <v>7052844.6000000015</v>
      </c>
    </row>
    <row r="13" spans="1:2" x14ac:dyDescent="0.3">
      <c r="A13" s="4" t="s">
        <v>32</v>
      </c>
      <c r="B13">
        <v>6994299.8000000007</v>
      </c>
    </row>
    <row r="14" spans="1:2" x14ac:dyDescent="0.3">
      <c r="A14" s="4" t="s">
        <v>33</v>
      </c>
      <c r="B14">
        <v>6395389.8999999985</v>
      </c>
    </row>
    <row r="15" spans="1:2" x14ac:dyDescent="0.3">
      <c r="A15" s="4" t="s">
        <v>34</v>
      </c>
      <c r="B15">
        <v>5771473.8499999987</v>
      </c>
    </row>
    <row r="16" spans="1:2" x14ac:dyDescent="0.3">
      <c r="A16" s="4" t="s">
        <v>6</v>
      </c>
      <c r="B16">
        <v>126468933.70000002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B1C6-C42A-4D55-9747-8325E6D11261}">
  <dimension ref="A3:B20"/>
  <sheetViews>
    <sheetView zoomScale="102" workbookViewId="0">
      <selection activeCell="L2" sqref="L2"/>
    </sheetView>
  </sheetViews>
  <sheetFormatPr defaultRowHeight="14.4" x14ac:dyDescent="0.3"/>
  <cols>
    <col min="1" max="1" width="17.109375" bestFit="1" customWidth="1"/>
    <col min="2" max="2" width="12.109375" bestFit="1" customWidth="1"/>
  </cols>
  <sheetData>
    <row r="3" spans="1:2" x14ac:dyDescent="0.3">
      <c r="A3" s="3" t="s">
        <v>7</v>
      </c>
      <c r="B3" t="s">
        <v>11</v>
      </c>
    </row>
    <row r="4" spans="1:2" x14ac:dyDescent="0.3">
      <c r="A4" s="4" t="s">
        <v>5</v>
      </c>
      <c r="B4">
        <v>5235208.0299999993</v>
      </c>
    </row>
    <row r="5" spans="1:2" x14ac:dyDescent="0.3">
      <c r="A5" s="13" t="s">
        <v>9</v>
      </c>
      <c r="B5">
        <v>1991376.5400000003</v>
      </c>
    </row>
    <row r="6" spans="1:2" x14ac:dyDescent="0.3">
      <c r="A6" s="13" t="s">
        <v>10</v>
      </c>
      <c r="B6">
        <v>1300726.9000000001</v>
      </c>
    </row>
    <row r="7" spans="1:2" x14ac:dyDescent="0.3">
      <c r="A7" s="13" t="s">
        <v>8</v>
      </c>
      <c r="B7">
        <v>1943104.5899999994</v>
      </c>
    </row>
    <row r="8" spans="1:2" x14ac:dyDescent="0.3">
      <c r="A8" s="4" t="s">
        <v>3</v>
      </c>
      <c r="B8">
        <v>5748109.8400000008</v>
      </c>
    </row>
    <row r="9" spans="1:2" x14ac:dyDescent="0.3">
      <c r="A9" s="13" t="s">
        <v>9</v>
      </c>
      <c r="B9">
        <v>1874268.7800000005</v>
      </c>
    </row>
    <row r="10" spans="1:2" x14ac:dyDescent="0.3">
      <c r="A10" s="13" t="s">
        <v>10</v>
      </c>
      <c r="B10">
        <v>2083034.7700000003</v>
      </c>
    </row>
    <row r="11" spans="1:2" x14ac:dyDescent="0.3">
      <c r="A11" s="13" t="s">
        <v>8</v>
      </c>
      <c r="B11">
        <v>1790806.2900000003</v>
      </c>
    </row>
    <row r="12" spans="1:2" x14ac:dyDescent="0.3">
      <c r="A12" s="4" t="s">
        <v>4</v>
      </c>
      <c r="B12">
        <v>5522588.040000001</v>
      </c>
    </row>
    <row r="13" spans="1:2" x14ac:dyDescent="0.3">
      <c r="A13" s="13" t="s">
        <v>9</v>
      </c>
      <c r="B13">
        <v>1981047.11</v>
      </c>
    </row>
    <row r="14" spans="1:2" x14ac:dyDescent="0.3">
      <c r="A14" s="13" t="s">
        <v>10</v>
      </c>
      <c r="B14">
        <v>1753970.1100000003</v>
      </c>
    </row>
    <row r="15" spans="1:2" x14ac:dyDescent="0.3">
      <c r="A15" s="13" t="s">
        <v>8</v>
      </c>
      <c r="B15">
        <v>1787570.8199999998</v>
      </c>
    </row>
    <row r="16" spans="1:2" x14ac:dyDescent="0.3">
      <c r="A16" s="4" t="s">
        <v>2</v>
      </c>
      <c r="B16">
        <v>5900814.2599999998</v>
      </c>
    </row>
    <row r="17" spans="1:2" x14ac:dyDescent="0.3">
      <c r="A17" s="13" t="s">
        <v>9</v>
      </c>
      <c r="B17">
        <v>1906669.47</v>
      </c>
    </row>
    <row r="18" spans="1:2" x14ac:dyDescent="0.3">
      <c r="A18" s="13" t="s">
        <v>10</v>
      </c>
      <c r="B18">
        <v>1602660.0100000007</v>
      </c>
    </row>
    <row r="19" spans="1:2" x14ac:dyDescent="0.3">
      <c r="A19" s="13" t="s">
        <v>8</v>
      </c>
      <c r="B19">
        <v>2391484.7799999998</v>
      </c>
    </row>
    <row r="20" spans="1:2" x14ac:dyDescent="0.3">
      <c r="A20" s="4" t="s">
        <v>6</v>
      </c>
      <c r="B20">
        <v>22406720.170000002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2" workbookViewId="0">
      <selection activeCell="A2" sqref="A2"/>
    </sheetView>
  </sheetViews>
  <sheetFormatPr defaultRowHeight="14.4" x14ac:dyDescent="0.3"/>
  <cols>
    <col min="1" max="1" width="12.88671875" customWidth="1"/>
    <col min="2" max="3" width="15.33203125" customWidth="1"/>
    <col min="4" max="4" width="9.33203125" customWidth="1"/>
    <col min="5" max="5" width="13.33203125" customWidth="1"/>
    <col min="6" max="6" width="14.88671875" customWidth="1"/>
    <col min="7" max="7" width="14.44140625" customWidth="1"/>
    <col min="8" max="8" width="14.6640625" customWidth="1"/>
    <col min="9" max="9" width="12.6640625" customWidth="1"/>
    <col min="10" max="10" width="14.109375" customWidth="1"/>
    <col min="11" max="11" width="17.33203125" customWidth="1"/>
    <col min="12" max="12" width="12.109375" customWidth="1"/>
    <col min="13" max="13" width="13.5546875" customWidth="1"/>
    <col min="14" max="14" width="13.6640625" customWidth="1"/>
    <col min="15" max="15" width="12.6640625" customWidth="1"/>
    <col min="16" max="16" width="11.44140625" customWidth="1"/>
  </cols>
  <sheetData>
    <row r="1" spans="1:16" s="1" customFormat="1" x14ac:dyDescent="0.3">
      <c r="A1" s="7" t="s">
        <v>35</v>
      </c>
      <c r="B1" s="8" t="s">
        <v>36</v>
      </c>
      <c r="C1" s="8" t="s">
        <v>37</v>
      </c>
      <c r="D1" s="8" t="s">
        <v>0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  <c r="M1" s="8" t="s">
        <v>46</v>
      </c>
      <c r="N1" s="8" t="s">
        <v>47</v>
      </c>
      <c r="O1" s="8" t="s">
        <v>48</v>
      </c>
      <c r="P1" s="9" t="s">
        <v>49</v>
      </c>
    </row>
    <row r="2" spans="1:16" x14ac:dyDescent="0.3">
      <c r="A2" s="5" t="s">
        <v>50</v>
      </c>
      <c r="B2" s="2" t="s">
        <v>51</v>
      </c>
      <c r="C2" s="2" t="str">
        <f>TEXT(B2,"mmmm")</f>
        <v>March</v>
      </c>
      <c r="D2" s="2" t="s">
        <v>5</v>
      </c>
      <c r="E2" s="2" t="s">
        <v>52</v>
      </c>
      <c r="F2" s="2" t="s">
        <v>53</v>
      </c>
      <c r="G2" s="2" t="s">
        <v>10</v>
      </c>
      <c r="H2" s="2" t="s">
        <v>54</v>
      </c>
      <c r="I2" s="2" t="s">
        <v>54</v>
      </c>
      <c r="J2" s="2" t="s">
        <v>14</v>
      </c>
      <c r="K2" s="2" t="s">
        <v>21</v>
      </c>
      <c r="L2" s="2">
        <v>5</v>
      </c>
      <c r="M2" s="2">
        <v>13522</v>
      </c>
      <c r="N2" s="2">
        <v>20</v>
      </c>
      <c r="O2" s="2">
        <v>54088</v>
      </c>
      <c r="P2" s="6">
        <v>16143.42</v>
      </c>
    </row>
    <row r="3" spans="1:16" x14ac:dyDescent="0.3">
      <c r="A3" s="5" t="s">
        <v>55</v>
      </c>
      <c r="B3" s="2" t="s">
        <v>56</v>
      </c>
      <c r="C3" s="2" t="str">
        <f t="shared" ref="C3:C66" si="0">TEXT(B3,"mmmm")</f>
        <v>June</v>
      </c>
      <c r="D3" s="2" t="s">
        <v>5</v>
      </c>
      <c r="E3" s="2" t="s">
        <v>57</v>
      </c>
      <c r="F3" s="2" t="s">
        <v>58</v>
      </c>
      <c r="G3" s="2" t="s">
        <v>9</v>
      </c>
      <c r="H3" s="2" t="s">
        <v>59</v>
      </c>
      <c r="I3" s="2" t="s">
        <v>59</v>
      </c>
      <c r="J3" s="2" t="s">
        <v>16</v>
      </c>
      <c r="K3" s="2" t="s">
        <v>22</v>
      </c>
      <c r="L3" s="2">
        <v>1</v>
      </c>
      <c r="M3" s="2">
        <v>20264</v>
      </c>
      <c r="N3" s="2">
        <v>10</v>
      </c>
      <c r="O3" s="2">
        <v>18237.599999999999</v>
      </c>
      <c r="P3" s="6">
        <v>2102.85</v>
      </c>
    </row>
    <row r="4" spans="1:16" x14ac:dyDescent="0.3">
      <c r="A4" s="5" t="s">
        <v>60</v>
      </c>
      <c r="B4" s="2" t="s">
        <v>61</v>
      </c>
      <c r="C4" s="2" t="str">
        <f t="shared" si="0"/>
        <v>April</v>
      </c>
      <c r="D4" s="2" t="s">
        <v>4</v>
      </c>
      <c r="E4" s="2" t="s">
        <v>62</v>
      </c>
      <c r="F4" s="2" t="s">
        <v>63</v>
      </c>
      <c r="G4" s="2" t="s">
        <v>8</v>
      </c>
      <c r="H4" s="2" t="s">
        <v>64</v>
      </c>
      <c r="I4" s="2" t="s">
        <v>64</v>
      </c>
      <c r="J4" s="2" t="s">
        <v>13</v>
      </c>
      <c r="K4" s="2" t="s">
        <v>22</v>
      </c>
      <c r="L4" s="2">
        <v>8</v>
      </c>
      <c r="M4" s="2">
        <v>41480</v>
      </c>
      <c r="N4" s="2">
        <v>15</v>
      </c>
      <c r="O4" s="2">
        <v>282064</v>
      </c>
      <c r="P4" s="6">
        <v>58609.78</v>
      </c>
    </row>
    <row r="5" spans="1:16" x14ac:dyDescent="0.3">
      <c r="A5" s="5" t="s">
        <v>65</v>
      </c>
      <c r="B5" s="2" t="s">
        <v>66</v>
      </c>
      <c r="C5" s="2" t="str">
        <f t="shared" si="0"/>
        <v>March</v>
      </c>
      <c r="D5" s="2" t="s">
        <v>4</v>
      </c>
      <c r="E5" s="2" t="s">
        <v>67</v>
      </c>
      <c r="F5" s="2" t="s">
        <v>68</v>
      </c>
      <c r="G5" s="2" t="s">
        <v>10</v>
      </c>
      <c r="H5" s="2" t="s">
        <v>69</v>
      </c>
      <c r="I5" s="2" t="s">
        <v>69</v>
      </c>
      <c r="J5" s="2" t="s">
        <v>15</v>
      </c>
      <c r="K5" s="2" t="s">
        <v>22</v>
      </c>
      <c r="L5" s="2">
        <v>5</v>
      </c>
      <c r="M5" s="2">
        <v>10025</v>
      </c>
      <c r="N5" s="2">
        <v>0</v>
      </c>
      <c r="O5" s="2">
        <v>50125</v>
      </c>
      <c r="P5" s="6">
        <v>13472.28</v>
      </c>
    </row>
    <row r="6" spans="1:16" x14ac:dyDescent="0.3">
      <c r="A6" s="5" t="s">
        <v>70</v>
      </c>
      <c r="B6" s="2" t="s">
        <v>71</v>
      </c>
      <c r="C6" s="2" t="str">
        <f t="shared" si="0"/>
        <v>June</v>
      </c>
      <c r="D6" s="2" t="s">
        <v>5</v>
      </c>
      <c r="E6" s="2" t="s">
        <v>52</v>
      </c>
      <c r="F6" s="2" t="s">
        <v>53</v>
      </c>
      <c r="G6" s="2" t="s">
        <v>9</v>
      </c>
      <c r="H6" s="2" t="s">
        <v>72</v>
      </c>
      <c r="I6" s="2" t="s">
        <v>72</v>
      </c>
      <c r="J6" s="2" t="s">
        <v>12</v>
      </c>
      <c r="K6" s="2" t="s">
        <v>21</v>
      </c>
      <c r="L6" s="2">
        <v>7</v>
      </c>
      <c r="M6" s="2">
        <v>45689</v>
      </c>
      <c r="N6" s="2">
        <v>10</v>
      </c>
      <c r="O6" s="2">
        <v>287840.7</v>
      </c>
      <c r="P6" s="6">
        <v>62002.3</v>
      </c>
    </row>
    <row r="7" spans="1:16" x14ac:dyDescent="0.3">
      <c r="A7" s="5" t="s">
        <v>73</v>
      </c>
      <c r="B7" s="2" t="s">
        <v>74</v>
      </c>
      <c r="C7" s="2" t="str">
        <f t="shared" si="0"/>
        <v>March</v>
      </c>
      <c r="D7" s="2" t="s">
        <v>3</v>
      </c>
      <c r="E7" s="2" t="s">
        <v>75</v>
      </c>
      <c r="F7" s="2" t="s">
        <v>75</v>
      </c>
      <c r="G7" s="2" t="s">
        <v>8</v>
      </c>
      <c r="H7" s="2" t="s">
        <v>76</v>
      </c>
      <c r="I7" s="2" t="s">
        <v>76</v>
      </c>
      <c r="J7" s="2" t="s">
        <v>16</v>
      </c>
      <c r="K7" s="2" t="s">
        <v>22</v>
      </c>
      <c r="L7" s="2">
        <v>3</v>
      </c>
      <c r="M7" s="2">
        <v>29946</v>
      </c>
      <c r="N7" s="2">
        <v>20</v>
      </c>
      <c r="O7" s="2">
        <v>71870.399999999994</v>
      </c>
      <c r="P7" s="6">
        <v>19526.98</v>
      </c>
    </row>
    <row r="8" spans="1:16" x14ac:dyDescent="0.3">
      <c r="A8" s="5" t="s">
        <v>77</v>
      </c>
      <c r="B8" s="2" t="s">
        <v>78</v>
      </c>
      <c r="C8" s="2" t="str">
        <f t="shared" si="0"/>
        <v>March</v>
      </c>
      <c r="D8" s="2" t="s">
        <v>4</v>
      </c>
      <c r="E8" s="2" t="s">
        <v>62</v>
      </c>
      <c r="F8" s="2" t="s">
        <v>63</v>
      </c>
      <c r="G8" s="2" t="s">
        <v>9</v>
      </c>
      <c r="H8" s="2" t="s">
        <v>59</v>
      </c>
      <c r="I8" s="2" t="s">
        <v>59</v>
      </c>
      <c r="J8" s="2" t="s">
        <v>12</v>
      </c>
      <c r="K8" s="2" t="s">
        <v>22</v>
      </c>
      <c r="L8" s="2">
        <v>9</v>
      </c>
      <c r="M8" s="2">
        <v>6202</v>
      </c>
      <c r="N8" s="2">
        <v>5</v>
      </c>
      <c r="O8" s="2">
        <v>53027.1</v>
      </c>
      <c r="P8" s="6">
        <v>7495.55</v>
      </c>
    </row>
    <row r="9" spans="1:16" x14ac:dyDescent="0.3">
      <c r="A9" s="5" t="s">
        <v>79</v>
      </c>
      <c r="B9" s="2" t="s">
        <v>80</v>
      </c>
      <c r="C9" s="2" t="str">
        <f t="shared" si="0"/>
        <v>December</v>
      </c>
      <c r="D9" s="2" t="s">
        <v>2</v>
      </c>
      <c r="E9" s="2" t="s">
        <v>81</v>
      </c>
      <c r="F9" s="2" t="s">
        <v>82</v>
      </c>
      <c r="G9" s="2" t="s">
        <v>10</v>
      </c>
      <c r="H9" s="2" t="s">
        <v>83</v>
      </c>
      <c r="I9" s="2" t="s">
        <v>83</v>
      </c>
      <c r="J9" s="2" t="s">
        <v>16</v>
      </c>
      <c r="K9" s="2" t="s">
        <v>21</v>
      </c>
      <c r="L9" s="2">
        <v>10</v>
      </c>
      <c r="M9" s="2">
        <v>9645</v>
      </c>
      <c r="N9" s="2">
        <v>5</v>
      </c>
      <c r="O9" s="2">
        <v>91627.5</v>
      </c>
      <c r="P9" s="6">
        <v>8113.11</v>
      </c>
    </row>
    <row r="10" spans="1:16" x14ac:dyDescent="0.3">
      <c r="A10" s="5" t="s">
        <v>84</v>
      </c>
      <c r="B10" s="2" t="s">
        <v>85</v>
      </c>
      <c r="C10" s="2" t="str">
        <f t="shared" si="0"/>
        <v>January</v>
      </c>
      <c r="D10" s="2" t="s">
        <v>3</v>
      </c>
      <c r="E10" s="2" t="s">
        <v>75</v>
      </c>
      <c r="F10" s="2" t="s">
        <v>75</v>
      </c>
      <c r="G10" s="2" t="s">
        <v>10</v>
      </c>
      <c r="H10" s="2" t="s">
        <v>83</v>
      </c>
      <c r="I10" s="2" t="s">
        <v>83</v>
      </c>
      <c r="J10" s="2" t="s">
        <v>12</v>
      </c>
      <c r="K10" s="2" t="s">
        <v>22</v>
      </c>
      <c r="L10" s="2">
        <v>9</v>
      </c>
      <c r="M10" s="2">
        <v>19370</v>
      </c>
      <c r="N10" s="2">
        <v>15</v>
      </c>
      <c r="O10" s="2">
        <v>148180.5</v>
      </c>
      <c r="P10" s="6">
        <v>25791.25</v>
      </c>
    </row>
    <row r="11" spans="1:16" x14ac:dyDescent="0.3">
      <c r="A11" s="5" t="s">
        <v>86</v>
      </c>
      <c r="B11" s="2" t="s">
        <v>87</v>
      </c>
      <c r="C11" s="2" t="str">
        <f t="shared" si="0"/>
        <v>April</v>
      </c>
      <c r="D11" s="2" t="s">
        <v>4</v>
      </c>
      <c r="E11" s="2" t="s">
        <v>62</v>
      </c>
      <c r="F11" s="2" t="s">
        <v>63</v>
      </c>
      <c r="G11" s="2" t="s">
        <v>9</v>
      </c>
      <c r="H11" s="2" t="s">
        <v>59</v>
      </c>
      <c r="I11" s="2" t="s">
        <v>59</v>
      </c>
      <c r="J11" s="2" t="s">
        <v>13</v>
      </c>
      <c r="K11" s="2" t="s">
        <v>21</v>
      </c>
      <c r="L11" s="2">
        <v>2</v>
      </c>
      <c r="M11" s="2">
        <v>10526</v>
      </c>
      <c r="N11" s="2">
        <v>5</v>
      </c>
      <c r="O11" s="2">
        <v>19999.400000000001</v>
      </c>
      <c r="P11" s="6">
        <v>4346.72</v>
      </c>
    </row>
    <row r="12" spans="1:16" x14ac:dyDescent="0.3">
      <c r="A12" s="5" t="s">
        <v>88</v>
      </c>
      <c r="B12" s="2" t="s">
        <v>89</v>
      </c>
      <c r="C12" s="2" t="str">
        <f t="shared" si="0"/>
        <v>July</v>
      </c>
      <c r="D12" s="2" t="s">
        <v>5</v>
      </c>
      <c r="E12" s="2" t="s">
        <v>52</v>
      </c>
      <c r="F12" s="2" t="s">
        <v>53</v>
      </c>
      <c r="G12" s="2" t="s">
        <v>9</v>
      </c>
      <c r="H12" s="2" t="s">
        <v>90</v>
      </c>
      <c r="I12" s="2" t="s">
        <v>90</v>
      </c>
      <c r="J12" s="2" t="s">
        <v>19</v>
      </c>
      <c r="K12" s="2" t="s">
        <v>21</v>
      </c>
      <c r="L12" s="2">
        <v>1</v>
      </c>
      <c r="M12" s="2">
        <v>45026</v>
      </c>
      <c r="N12" s="2">
        <v>15</v>
      </c>
      <c r="O12" s="2">
        <v>38272.1</v>
      </c>
      <c r="P12" s="6">
        <v>2364.58</v>
      </c>
    </row>
    <row r="13" spans="1:16" x14ac:dyDescent="0.3">
      <c r="A13" s="5" t="s">
        <v>91</v>
      </c>
      <c r="B13" s="2" t="s">
        <v>92</v>
      </c>
      <c r="C13" s="2" t="str">
        <f t="shared" si="0"/>
        <v>May</v>
      </c>
      <c r="D13" s="2" t="s">
        <v>5</v>
      </c>
      <c r="E13" s="2" t="s">
        <v>52</v>
      </c>
      <c r="F13" s="2" t="s">
        <v>53</v>
      </c>
      <c r="G13" s="2" t="s">
        <v>8</v>
      </c>
      <c r="H13" s="2" t="s">
        <v>93</v>
      </c>
      <c r="I13" s="2" t="s">
        <v>93</v>
      </c>
      <c r="J13" s="2" t="s">
        <v>19</v>
      </c>
      <c r="K13" s="2" t="s">
        <v>22</v>
      </c>
      <c r="L13" s="2">
        <v>3</v>
      </c>
      <c r="M13" s="2">
        <v>3772</v>
      </c>
      <c r="N13" s="2">
        <v>20</v>
      </c>
      <c r="O13" s="2">
        <v>9052.7999999999993</v>
      </c>
      <c r="P13" s="6">
        <v>516.09</v>
      </c>
    </row>
    <row r="14" spans="1:16" x14ac:dyDescent="0.3">
      <c r="A14" s="5" t="s">
        <v>94</v>
      </c>
      <c r="B14" s="2" t="s">
        <v>95</v>
      </c>
      <c r="C14" s="2" t="str">
        <f t="shared" si="0"/>
        <v>November</v>
      </c>
      <c r="D14" s="2" t="s">
        <v>5</v>
      </c>
      <c r="E14" s="2" t="s">
        <v>57</v>
      </c>
      <c r="F14" s="2" t="s">
        <v>58</v>
      </c>
      <c r="G14" s="2" t="s">
        <v>10</v>
      </c>
      <c r="H14" s="2" t="s">
        <v>83</v>
      </c>
      <c r="I14" s="2" t="s">
        <v>83</v>
      </c>
      <c r="J14" s="2" t="s">
        <v>19</v>
      </c>
      <c r="K14" s="2" t="s">
        <v>22</v>
      </c>
      <c r="L14" s="2">
        <v>6</v>
      </c>
      <c r="M14" s="2">
        <v>15547</v>
      </c>
      <c r="N14" s="2">
        <v>20</v>
      </c>
      <c r="O14" s="2">
        <v>74625.600000000006</v>
      </c>
      <c r="P14" s="6">
        <v>17825.400000000001</v>
      </c>
    </row>
    <row r="15" spans="1:16" x14ac:dyDescent="0.3">
      <c r="A15" s="5" t="s">
        <v>96</v>
      </c>
      <c r="B15" s="2" t="s">
        <v>97</v>
      </c>
      <c r="C15" s="2" t="str">
        <f t="shared" si="0"/>
        <v>August</v>
      </c>
      <c r="D15" s="2" t="s">
        <v>4</v>
      </c>
      <c r="E15" s="2" t="s">
        <v>62</v>
      </c>
      <c r="F15" s="2" t="s">
        <v>63</v>
      </c>
      <c r="G15" s="2" t="s">
        <v>8</v>
      </c>
      <c r="H15" s="2" t="s">
        <v>76</v>
      </c>
      <c r="I15" s="2" t="s">
        <v>76</v>
      </c>
      <c r="J15" s="2" t="s">
        <v>13</v>
      </c>
      <c r="K15" s="2" t="s">
        <v>21</v>
      </c>
      <c r="L15" s="2">
        <v>10</v>
      </c>
      <c r="M15" s="2">
        <v>49801</v>
      </c>
      <c r="N15" s="2">
        <v>10</v>
      </c>
      <c r="O15" s="2">
        <v>448209</v>
      </c>
      <c r="P15" s="6">
        <v>24558.39</v>
      </c>
    </row>
    <row r="16" spans="1:16" x14ac:dyDescent="0.3">
      <c r="A16" s="5" t="s">
        <v>98</v>
      </c>
      <c r="B16" s="2" t="s">
        <v>99</v>
      </c>
      <c r="C16" s="2" t="str">
        <f t="shared" si="0"/>
        <v>February</v>
      </c>
      <c r="D16" s="2" t="s">
        <v>3</v>
      </c>
      <c r="E16" s="2" t="s">
        <v>75</v>
      </c>
      <c r="F16" s="2" t="s">
        <v>75</v>
      </c>
      <c r="G16" s="2" t="s">
        <v>10</v>
      </c>
      <c r="H16" s="2" t="s">
        <v>100</v>
      </c>
      <c r="I16" s="2" t="s">
        <v>100</v>
      </c>
      <c r="J16" s="2" t="s">
        <v>14</v>
      </c>
      <c r="K16" s="2" t="s">
        <v>22</v>
      </c>
      <c r="L16" s="2">
        <v>9</v>
      </c>
      <c r="M16" s="2">
        <v>5998</v>
      </c>
      <c r="N16" s="2">
        <v>0</v>
      </c>
      <c r="O16" s="2">
        <v>53982</v>
      </c>
      <c r="P16" s="6">
        <v>9859.89</v>
      </c>
    </row>
    <row r="17" spans="1:16" x14ac:dyDescent="0.3">
      <c r="A17" s="5" t="s">
        <v>101</v>
      </c>
      <c r="B17" s="2" t="s">
        <v>102</v>
      </c>
      <c r="C17" s="2" t="str">
        <f t="shared" si="0"/>
        <v>February</v>
      </c>
      <c r="D17" s="2" t="s">
        <v>2</v>
      </c>
      <c r="E17" s="2" t="s">
        <v>103</v>
      </c>
      <c r="F17" s="2" t="s">
        <v>104</v>
      </c>
      <c r="G17" s="2" t="s">
        <v>10</v>
      </c>
      <c r="H17" s="2" t="s">
        <v>69</v>
      </c>
      <c r="I17" s="2" t="s">
        <v>69</v>
      </c>
      <c r="J17" s="2" t="s">
        <v>16</v>
      </c>
      <c r="K17" s="2" t="s">
        <v>22</v>
      </c>
      <c r="L17" s="2">
        <v>4</v>
      </c>
      <c r="M17" s="2">
        <v>23832</v>
      </c>
      <c r="N17" s="2">
        <v>5</v>
      </c>
      <c r="O17" s="2">
        <v>90561.600000000006</v>
      </c>
      <c r="P17" s="6">
        <v>20982.720000000001</v>
      </c>
    </row>
    <row r="18" spans="1:16" x14ac:dyDescent="0.3">
      <c r="A18" s="5" t="s">
        <v>105</v>
      </c>
      <c r="B18" s="2" t="s">
        <v>106</v>
      </c>
      <c r="C18" s="2" t="str">
        <f t="shared" si="0"/>
        <v>September</v>
      </c>
      <c r="D18" s="2" t="s">
        <v>5</v>
      </c>
      <c r="E18" s="2" t="s">
        <v>57</v>
      </c>
      <c r="F18" s="2" t="s">
        <v>58</v>
      </c>
      <c r="G18" s="2" t="s">
        <v>8</v>
      </c>
      <c r="H18" s="2" t="s">
        <v>64</v>
      </c>
      <c r="I18" s="2" t="s">
        <v>64</v>
      </c>
      <c r="J18" s="2" t="s">
        <v>15</v>
      </c>
      <c r="K18" s="2" t="s">
        <v>21</v>
      </c>
      <c r="L18" s="2">
        <v>5</v>
      </c>
      <c r="M18" s="2">
        <v>36646</v>
      </c>
      <c r="N18" s="2">
        <v>15</v>
      </c>
      <c r="O18" s="2">
        <v>155745.5</v>
      </c>
      <c r="P18" s="6">
        <v>25189.03</v>
      </c>
    </row>
    <row r="19" spans="1:16" x14ac:dyDescent="0.3">
      <c r="A19" s="5" t="s">
        <v>107</v>
      </c>
      <c r="B19" s="2" t="s">
        <v>108</v>
      </c>
      <c r="C19" s="2" t="str">
        <f t="shared" si="0"/>
        <v>October</v>
      </c>
      <c r="D19" s="2" t="s">
        <v>2</v>
      </c>
      <c r="E19" s="2" t="s">
        <v>103</v>
      </c>
      <c r="F19" s="2" t="s">
        <v>104</v>
      </c>
      <c r="G19" s="2" t="s">
        <v>8</v>
      </c>
      <c r="H19" s="2" t="s">
        <v>93</v>
      </c>
      <c r="I19" s="2" t="s">
        <v>93</v>
      </c>
      <c r="J19" s="2" t="s">
        <v>13</v>
      </c>
      <c r="K19" s="2" t="s">
        <v>21</v>
      </c>
      <c r="L19" s="2">
        <v>4</v>
      </c>
      <c r="M19" s="2">
        <v>8037</v>
      </c>
      <c r="N19" s="2">
        <v>15</v>
      </c>
      <c r="O19" s="2">
        <v>27325.8</v>
      </c>
      <c r="P19" s="6">
        <v>2472.23</v>
      </c>
    </row>
    <row r="20" spans="1:16" x14ac:dyDescent="0.3">
      <c r="A20" s="5" t="s">
        <v>109</v>
      </c>
      <c r="B20" s="2" t="s">
        <v>110</v>
      </c>
      <c r="C20" s="2" t="str">
        <f t="shared" si="0"/>
        <v>August</v>
      </c>
      <c r="D20" s="2" t="s">
        <v>5</v>
      </c>
      <c r="E20" s="2" t="s">
        <v>52</v>
      </c>
      <c r="F20" s="2" t="s">
        <v>53</v>
      </c>
      <c r="G20" s="2" t="s">
        <v>10</v>
      </c>
      <c r="H20" s="2" t="s">
        <v>54</v>
      </c>
      <c r="I20" s="2" t="s">
        <v>54</v>
      </c>
      <c r="J20" s="2" t="s">
        <v>18</v>
      </c>
      <c r="K20" s="2" t="s">
        <v>21</v>
      </c>
      <c r="L20" s="2">
        <v>4</v>
      </c>
      <c r="M20" s="2">
        <v>38957</v>
      </c>
      <c r="N20" s="2">
        <v>20</v>
      </c>
      <c r="O20" s="2">
        <v>124662.39999999999</v>
      </c>
      <c r="P20" s="6">
        <v>35285.79</v>
      </c>
    </row>
    <row r="21" spans="1:16" x14ac:dyDescent="0.3">
      <c r="A21" s="5" t="s">
        <v>111</v>
      </c>
      <c r="B21" s="2" t="s">
        <v>112</v>
      </c>
      <c r="C21" s="2" t="str">
        <f t="shared" si="0"/>
        <v>November</v>
      </c>
      <c r="D21" s="2" t="s">
        <v>2</v>
      </c>
      <c r="E21" s="2" t="s">
        <v>81</v>
      </c>
      <c r="F21" s="2" t="s">
        <v>82</v>
      </c>
      <c r="G21" s="2" t="s">
        <v>8</v>
      </c>
      <c r="H21" s="2" t="s">
        <v>76</v>
      </c>
      <c r="I21" s="2" t="s">
        <v>76</v>
      </c>
      <c r="J21" s="2" t="s">
        <v>17</v>
      </c>
      <c r="K21" s="2" t="s">
        <v>22</v>
      </c>
      <c r="L21" s="2">
        <v>5</v>
      </c>
      <c r="M21" s="2">
        <v>48927</v>
      </c>
      <c r="N21" s="2">
        <v>15</v>
      </c>
      <c r="O21" s="2">
        <v>207939.75</v>
      </c>
      <c r="P21" s="6">
        <v>13285.96</v>
      </c>
    </row>
    <row r="22" spans="1:16" x14ac:dyDescent="0.3">
      <c r="A22" s="5" t="s">
        <v>113</v>
      </c>
      <c r="B22" s="2" t="s">
        <v>114</v>
      </c>
      <c r="C22" s="2" t="str">
        <f t="shared" si="0"/>
        <v>March</v>
      </c>
      <c r="D22" s="2" t="s">
        <v>4</v>
      </c>
      <c r="E22" s="2" t="s">
        <v>67</v>
      </c>
      <c r="F22" s="2" t="s">
        <v>68</v>
      </c>
      <c r="G22" s="2" t="s">
        <v>9</v>
      </c>
      <c r="H22" s="2" t="s">
        <v>90</v>
      </c>
      <c r="I22" s="2" t="s">
        <v>90</v>
      </c>
      <c r="J22" s="2" t="s">
        <v>12</v>
      </c>
      <c r="K22" s="2" t="s">
        <v>22</v>
      </c>
      <c r="L22" s="2">
        <v>7</v>
      </c>
      <c r="M22" s="2">
        <v>14880</v>
      </c>
      <c r="N22" s="2">
        <v>20</v>
      </c>
      <c r="O22" s="2">
        <v>83328</v>
      </c>
      <c r="P22" s="6">
        <v>24569.3</v>
      </c>
    </row>
    <row r="23" spans="1:16" x14ac:dyDescent="0.3">
      <c r="A23" s="5" t="s">
        <v>115</v>
      </c>
      <c r="B23" s="2" t="s">
        <v>116</v>
      </c>
      <c r="C23" s="2" t="str">
        <f t="shared" si="0"/>
        <v>February</v>
      </c>
      <c r="D23" s="2" t="s">
        <v>3</v>
      </c>
      <c r="E23" s="2" t="s">
        <v>117</v>
      </c>
      <c r="F23" s="2" t="s">
        <v>117</v>
      </c>
      <c r="G23" s="2" t="s">
        <v>9</v>
      </c>
      <c r="H23" s="2" t="s">
        <v>59</v>
      </c>
      <c r="I23" s="2" t="s">
        <v>59</v>
      </c>
      <c r="J23" s="2" t="s">
        <v>16</v>
      </c>
      <c r="K23" s="2" t="s">
        <v>21</v>
      </c>
      <c r="L23" s="2">
        <v>7</v>
      </c>
      <c r="M23" s="2">
        <v>46371</v>
      </c>
      <c r="N23" s="2">
        <v>20</v>
      </c>
      <c r="O23" s="2">
        <v>259677.6</v>
      </c>
      <c r="P23" s="6">
        <v>33296.39</v>
      </c>
    </row>
    <row r="24" spans="1:16" x14ac:dyDescent="0.3">
      <c r="A24" s="5" t="s">
        <v>118</v>
      </c>
      <c r="B24" s="2" t="s">
        <v>119</v>
      </c>
      <c r="C24" s="2" t="str">
        <f t="shared" si="0"/>
        <v>January</v>
      </c>
      <c r="D24" s="2" t="s">
        <v>4</v>
      </c>
      <c r="E24" s="2" t="s">
        <v>67</v>
      </c>
      <c r="F24" s="2" t="s">
        <v>68</v>
      </c>
      <c r="G24" s="2" t="s">
        <v>10</v>
      </c>
      <c r="H24" s="2" t="s">
        <v>83</v>
      </c>
      <c r="I24" s="2" t="s">
        <v>83</v>
      </c>
      <c r="J24" s="2" t="s">
        <v>19</v>
      </c>
      <c r="K24" s="2" t="s">
        <v>21</v>
      </c>
      <c r="L24" s="2">
        <v>4</v>
      </c>
      <c r="M24" s="2">
        <v>23551</v>
      </c>
      <c r="N24" s="2">
        <v>20</v>
      </c>
      <c r="O24" s="2">
        <v>75363.199999999997</v>
      </c>
      <c r="P24" s="6">
        <v>19970.16</v>
      </c>
    </row>
    <row r="25" spans="1:16" x14ac:dyDescent="0.3">
      <c r="A25" s="5" t="s">
        <v>120</v>
      </c>
      <c r="B25" s="2" t="s">
        <v>121</v>
      </c>
      <c r="C25" s="2" t="str">
        <f t="shared" si="0"/>
        <v>March</v>
      </c>
      <c r="D25" s="2" t="s">
        <v>4</v>
      </c>
      <c r="E25" s="2" t="s">
        <v>67</v>
      </c>
      <c r="F25" s="2" t="s">
        <v>68</v>
      </c>
      <c r="G25" s="2" t="s">
        <v>10</v>
      </c>
      <c r="H25" s="2" t="s">
        <v>100</v>
      </c>
      <c r="I25" s="2" t="s">
        <v>100</v>
      </c>
      <c r="J25" s="2" t="s">
        <v>13</v>
      </c>
      <c r="K25" s="2" t="s">
        <v>22</v>
      </c>
      <c r="L25" s="2">
        <v>5</v>
      </c>
      <c r="M25" s="2">
        <v>48652</v>
      </c>
      <c r="N25" s="2">
        <v>5</v>
      </c>
      <c r="O25" s="2">
        <v>231097</v>
      </c>
      <c r="P25" s="6">
        <v>12300.41</v>
      </c>
    </row>
    <row r="26" spans="1:16" x14ac:dyDescent="0.3">
      <c r="A26" s="5" t="s">
        <v>122</v>
      </c>
      <c r="B26" s="2" t="s">
        <v>123</v>
      </c>
      <c r="C26" s="2" t="str">
        <f t="shared" si="0"/>
        <v>March</v>
      </c>
      <c r="D26" s="2" t="s">
        <v>5</v>
      </c>
      <c r="E26" s="2" t="s">
        <v>57</v>
      </c>
      <c r="F26" s="2" t="s">
        <v>58</v>
      </c>
      <c r="G26" s="2" t="s">
        <v>8</v>
      </c>
      <c r="H26" s="2" t="s">
        <v>76</v>
      </c>
      <c r="I26" s="2" t="s">
        <v>76</v>
      </c>
      <c r="J26" s="2" t="s">
        <v>14</v>
      </c>
      <c r="K26" s="2" t="s">
        <v>21</v>
      </c>
      <c r="L26" s="2">
        <v>8</v>
      </c>
      <c r="M26" s="2">
        <v>27081</v>
      </c>
      <c r="N26" s="2">
        <v>10</v>
      </c>
      <c r="O26" s="2">
        <v>194983.2</v>
      </c>
      <c r="P26" s="6">
        <v>10347.209999999999</v>
      </c>
    </row>
    <row r="27" spans="1:16" x14ac:dyDescent="0.3">
      <c r="A27" s="5" t="s">
        <v>124</v>
      </c>
      <c r="B27" s="2" t="s">
        <v>125</v>
      </c>
      <c r="C27" s="2" t="str">
        <f t="shared" si="0"/>
        <v>December</v>
      </c>
      <c r="D27" s="2" t="s">
        <v>3</v>
      </c>
      <c r="E27" s="2" t="s">
        <v>117</v>
      </c>
      <c r="F27" s="2" t="s">
        <v>117</v>
      </c>
      <c r="G27" s="2" t="s">
        <v>9</v>
      </c>
      <c r="H27" s="2" t="s">
        <v>126</v>
      </c>
      <c r="I27" s="2" t="s">
        <v>126</v>
      </c>
      <c r="J27" s="2" t="s">
        <v>14</v>
      </c>
      <c r="K27" s="2" t="s">
        <v>21</v>
      </c>
      <c r="L27" s="2">
        <v>1</v>
      </c>
      <c r="M27" s="2">
        <v>47593</v>
      </c>
      <c r="N27" s="2">
        <v>0</v>
      </c>
      <c r="O27" s="2">
        <v>47593</v>
      </c>
      <c r="P27" s="6">
        <v>10682.82</v>
      </c>
    </row>
    <row r="28" spans="1:16" x14ac:dyDescent="0.3">
      <c r="A28" s="5" t="s">
        <v>127</v>
      </c>
      <c r="B28" s="2" t="s">
        <v>128</v>
      </c>
      <c r="C28" s="2" t="str">
        <f t="shared" si="0"/>
        <v>December</v>
      </c>
      <c r="D28" s="2" t="s">
        <v>5</v>
      </c>
      <c r="E28" s="2" t="s">
        <v>57</v>
      </c>
      <c r="F28" s="2" t="s">
        <v>58</v>
      </c>
      <c r="G28" s="2" t="s">
        <v>8</v>
      </c>
      <c r="H28" s="2" t="s">
        <v>64</v>
      </c>
      <c r="I28" s="2" t="s">
        <v>64</v>
      </c>
      <c r="J28" s="2" t="s">
        <v>17</v>
      </c>
      <c r="K28" s="2" t="s">
        <v>22</v>
      </c>
      <c r="L28" s="2">
        <v>9</v>
      </c>
      <c r="M28" s="2">
        <v>3206</v>
      </c>
      <c r="N28" s="2">
        <v>10</v>
      </c>
      <c r="O28" s="2">
        <v>25968.6</v>
      </c>
      <c r="P28" s="6">
        <v>2071.77</v>
      </c>
    </row>
    <row r="29" spans="1:16" x14ac:dyDescent="0.3">
      <c r="A29" s="5" t="s">
        <v>129</v>
      </c>
      <c r="B29" s="2" t="s">
        <v>130</v>
      </c>
      <c r="C29" s="2" t="str">
        <f t="shared" si="0"/>
        <v>September</v>
      </c>
      <c r="D29" s="2" t="s">
        <v>5</v>
      </c>
      <c r="E29" s="2" t="s">
        <v>57</v>
      </c>
      <c r="F29" s="2" t="s">
        <v>58</v>
      </c>
      <c r="G29" s="2" t="s">
        <v>10</v>
      </c>
      <c r="H29" s="2" t="s">
        <v>83</v>
      </c>
      <c r="I29" s="2" t="s">
        <v>83</v>
      </c>
      <c r="J29" s="2" t="s">
        <v>12</v>
      </c>
      <c r="K29" s="2" t="s">
        <v>22</v>
      </c>
      <c r="L29" s="2">
        <v>10</v>
      </c>
      <c r="M29" s="2">
        <v>8240</v>
      </c>
      <c r="N29" s="2">
        <v>10</v>
      </c>
      <c r="O29" s="2">
        <v>74160</v>
      </c>
      <c r="P29" s="6">
        <v>19548.72</v>
      </c>
    </row>
    <row r="30" spans="1:16" x14ac:dyDescent="0.3">
      <c r="A30" s="5" t="s">
        <v>131</v>
      </c>
      <c r="B30" s="2" t="s">
        <v>132</v>
      </c>
      <c r="C30" s="2" t="str">
        <f t="shared" si="0"/>
        <v>February</v>
      </c>
      <c r="D30" s="2" t="s">
        <v>2</v>
      </c>
      <c r="E30" s="2" t="s">
        <v>103</v>
      </c>
      <c r="F30" s="2" t="s">
        <v>104</v>
      </c>
      <c r="G30" s="2" t="s">
        <v>8</v>
      </c>
      <c r="H30" s="2" t="s">
        <v>133</v>
      </c>
      <c r="I30" s="2" t="s">
        <v>133</v>
      </c>
      <c r="J30" s="2" t="s">
        <v>13</v>
      </c>
      <c r="K30" s="2" t="s">
        <v>21</v>
      </c>
      <c r="L30" s="2">
        <v>3</v>
      </c>
      <c r="M30" s="2">
        <v>46763</v>
      </c>
      <c r="N30" s="2">
        <v>10</v>
      </c>
      <c r="O30" s="2">
        <v>126260.1</v>
      </c>
      <c r="P30" s="6">
        <v>16446.939999999999</v>
      </c>
    </row>
    <row r="31" spans="1:16" x14ac:dyDescent="0.3">
      <c r="A31" s="5" t="s">
        <v>134</v>
      </c>
      <c r="B31" s="2" t="s">
        <v>135</v>
      </c>
      <c r="C31" s="2" t="str">
        <f t="shared" si="0"/>
        <v>May</v>
      </c>
      <c r="D31" s="2" t="s">
        <v>4</v>
      </c>
      <c r="E31" s="2" t="s">
        <v>67</v>
      </c>
      <c r="F31" s="2" t="s">
        <v>68</v>
      </c>
      <c r="G31" s="2" t="s">
        <v>9</v>
      </c>
      <c r="H31" s="2" t="s">
        <v>72</v>
      </c>
      <c r="I31" s="2" t="s">
        <v>72</v>
      </c>
      <c r="J31" s="2" t="s">
        <v>18</v>
      </c>
      <c r="K31" s="2" t="s">
        <v>21</v>
      </c>
      <c r="L31" s="2">
        <v>3</v>
      </c>
      <c r="M31" s="2">
        <v>12521</v>
      </c>
      <c r="N31" s="2">
        <v>20</v>
      </c>
      <c r="O31" s="2">
        <v>30050.400000000001</v>
      </c>
      <c r="P31" s="6">
        <v>6938.89</v>
      </c>
    </row>
    <row r="32" spans="1:16" x14ac:dyDescent="0.3">
      <c r="A32" s="5" t="s">
        <v>136</v>
      </c>
      <c r="B32" s="2" t="s">
        <v>137</v>
      </c>
      <c r="C32" s="2" t="str">
        <f t="shared" si="0"/>
        <v>November</v>
      </c>
      <c r="D32" s="2" t="s">
        <v>3</v>
      </c>
      <c r="E32" s="2" t="s">
        <v>75</v>
      </c>
      <c r="F32" s="2" t="s">
        <v>75</v>
      </c>
      <c r="G32" s="2" t="s">
        <v>8</v>
      </c>
      <c r="H32" s="2" t="s">
        <v>133</v>
      </c>
      <c r="I32" s="2" t="s">
        <v>133</v>
      </c>
      <c r="J32" s="2" t="s">
        <v>13</v>
      </c>
      <c r="K32" s="2" t="s">
        <v>22</v>
      </c>
      <c r="L32" s="2">
        <v>9</v>
      </c>
      <c r="M32" s="2">
        <v>28366</v>
      </c>
      <c r="N32" s="2">
        <v>5</v>
      </c>
      <c r="O32" s="2">
        <v>242529.3</v>
      </c>
      <c r="P32" s="6">
        <v>22643.39</v>
      </c>
    </row>
    <row r="33" spans="1:16" x14ac:dyDescent="0.3">
      <c r="A33" s="5" t="s">
        <v>138</v>
      </c>
      <c r="B33" s="2" t="s">
        <v>139</v>
      </c>
      <c r="C33" s="2" t="str">
        <f t="shared" si="0"/>
        <v>February</v>
      </c>
      <c r="D33" s="2" t="s">
        <v>2</v>
      </c>
      <c r="E33" s="2" t="s">
        <v>103</v>
      </c>
      <c r="F33" s="2" t="s">
        <v>104</v>
      </c>
      <c r="G33" s="2" t="s">
        <v>8</v>
      </c>
      <c r="H33" s="2" t="s">
        <v>133</v>
      </c>
      <c r="I33" s="2" t="s">
        <v>133</v>
      </c>
      <c r="J33" s="2" t="s">
        <v>12</v>
      </c>
      <c r="K33" s="2" t="s">
        <v>22</v>
      </c>
      <c r="L33" s="2">
        <v>1</v>
      </c>
      <c r="M33" s="2">
        <v>1739</v>
      </c>
      <c r="N33" s="2">
        <v>10</v>
      </c>
      <c r="O33" s="2">
        <v>1565.1</v>
      </c>
      <c r="P33" s="6">
        <v>376.59</v>
      </c>
    </row>
    <row r="34" spans="1:16" x14ac:dyDescent="0.3">
      <c r="A34" s="5" t="s">
        <v>140</v>
      </c>
      <c r="B34" s="2" t="s">
        <v>141</v>
      </c>
      <c r="C34" s="2" t="str">
        <f t="shared" si="0"/>
        <v>March</v>
      </c>
      <c r="D34" s="2" t="s">
        <v>2</v>
      </c>
      <c r="E34" s="2" t="s">
        <v>103</v>
      </c>
      <c r="F34" s="2" t="s">
        <v>104</v>
      </c>
      <c r="G34" s="2" t="s">
        <v>9</v>
      </c>
      <c r="H34" s="2" t="s">
        <v>59</v>
      </c>
      <c r="I34" s="2" t="s">
        <v>59</v>
      </c>
      <c r="J34" s="2" t="s">
        <v>14</v>
      </c>
      <c r="K34" s="2" t="s">
        <v>21</v>
      </c>
      <c r="L34" s="2">
        <v>8</v>
      </c>
      <c r="M34" s="2">
        <v>31189</v>
      </c>
      <c r="N34" s="2">
        <v>5</v>
      </c>
      <c r="O34" s="2">
        <v>237036.4</v>
      </c>
      <c r="P34" s="6">
        <v>52120.56</v>
      </c>
    </row>
    <row r="35" spans="1:16" x14ac:dyDescent="0.3">
      <c r="A35" s="5" t="s">
        <v>142</v>
      </c>
      <c r="B35" s="2" t="s">
        <v>121</v>
      </c>
      <c r="C35" s="2" t="str">
        <f t="shared" si="0"/>
        <v>March</v>
      </c>
      <c r="D35" s="2" t="s">
        <v>5</v>
      </c>
      <c r="E35" s="2" t="s">
        <v>57</v>
      </c>
      <c r="F35" s="2" t="s">
        <v>58</v>
      </c>
      <c r="G35" s="2" t="s">
        <v>9</v>
      </c>
      <c r="H35" s="2" t="s">
        <v>126</v>
      </c>
      <c r="I35" s="2" t="s">
        <v>126</v>
      </c>
      <c r="J35" s="2" t="s">
        <v>15</v>
      </c>
      <c r="K35" s="2" t="s">
        <v>21</v>
      </c>
      <c r="L35" s="2">
        <v>7</v>
      </c>
      <c r="M35" s="2">
        <v>42270</v>
      </c>
      <c r="N35" s="2">
        <v>5</v>
      </c>
      <c r="O35" s="2">
        <v>281095.5</v>
      </c>
      <c r="P35" s="6">
        <v>26307.5</v>
      </c>
    </row>
    <row r="36" spans="1:16" x14ac:dyDescent="0.3">
      <c r="A36" s="5" t="s">
        <v>143</v>
      </c>
      <c r="B36" s="2" t="s">
        <v>144</v>
      </c>
      <c r="C36" s="2" t="str">
        <f t="shared" si="0"/>
        <v>January</v>
      </c>
      <c r="D36" s="2" t="s">
        <v>3</v>
      </c>
      <c r="E36" s="2" t="s">
        <v>117</v>
      </c>
      <c r="F36" s="2" t="s">
        <v>117</v>
      </c>
      <c r="G36" s="2" t="s">
        <v>8</v>
      </c>
      <c r="H36" s="2" t="s">
        <v>76</v>
      </c>
      <c r="I36" s="2" t="s">
        <v>76</v>
      </c>
      <c r="J36" s="2" t="s">
        <v>16</v>
      </c>
      <c r="K36" s="2" t="s">
        <v>21</v>
      </c>
      <c r="L36" s="2">
        <v>4</v>
      </c>
      <c r="M36" s="2">
        <v>11901</v>
      </c>
      <c r="N36" s="2">
        <v>15</v>
      </c>
      <c r="O36" s="2">
        <v>40463.4</v>
      </c>
      <c r="P36" s="6">
        <v>3018.6</v>
      </c>
    </row>
    <row r="37" spans="1:16" x14ac:dyDescent="0.3">
      <c r="A37" s="5" t="s">
        <v>145</v>
      </c>
      <c r="B37" s="2" t="s">
        <v>146</v>
      </c>
      <c r="C37" s="2" t="str">
        <f t="shared" si="0"/>
        <v>May</v>
      </c>
      <c r="D37" s="2" t="s">
        <v>4</v>
      </c>
      <c r="E37" s="2" t="s">
        <v>62</v>
      </c>
      <c r="F37" s="2" t="s">
        <v>63</v>
      </c>
      <c r="G37" s="2" t="s">
        <v>8</v>
      </c>
      <c r="H37" s="2" t="s">
        <v>76</v>
      </c>
      <c r="I37" s="2" t="s">
        <v>76</v>
      </c>
      <c r="J37" s="2" t="s">
        <v>12</v>
      </c>
      <c r="K37" s="2" t="s">
        <v>22</v>
      </c>
      <c r="L37" s="2">
        <v>4</v>
      </c>
      <c r="M37" s="2">
        <v>43229</v>
      </c>
      <c r="N37" s="2">
        <v>20</v>
      </c>
      <c r="O37" s="2">
        <v>138332.79999999999</v>
      </c>
      <c r="P37" s="6">
        <v>25459.99</v>
      </c>
    </row>
    <row r="38" spans="1:16" x14ac:dyDescent="0.3">
      <c r="A38" s="5" t="s">
        <v>147</v>
      </c>
      <c r="B38" s="2" t="s">
        <v>148</v>
      </c>
      <c r="C38" s="2" t="str">
        <f t="shared" si="0"/>
        <v>June</v>
      </c>
      <c r="D38" s="2" t="s">
        <v>3</v>
      </c>
      <c r="E38" s="2" t="s">
        <v>117</v>
      </c>
      <c r="F38" s="2" t="s">
        <v>117</v>
      </c>
      <c r="G38" s="2" t="s">
        <v>10</v>
      </c>
      <c r="H38" s="2" t="s">
        <v>83</v>
      </c>
      <c r="I38" s="2" t="s">
        <v>83</v>
      </c>
      <c r="J38" s="2" t="s">
        <v>16</v>
      </c>
      <c r="K38" s="2" t="s">
        <v>22</v>
      </c>
      <c r="L38" s="2">
        <v>8</v>
      </c>
      <c r="M38" s="2">
        <v>42043</v>
      </c>
      <c r="N38" s="2">
        <v>10</v>
      </c>
      <c r="O38" s="2">
        <v>302709.59999999998</v>
      </c>
      <c r="P38" s="6">
        <v>77880.509999999995</v>
      </c>
    </row>
    <row r="39" spans="1:16" x14ac:dyDescent="0.3">
      <c r="A39" s="5" t="s">
        <v>149</v>
      </c>
      <c r="B39" s="2" t="s">
        <v>150</v>
      </c>
      <c r="C39" s="2" t="str">
        <f t="shared" si="0"/>
        <v>January</v>
      </c>
      <c r="D39" s="2" t="s">
        <v>4</v>
      </c>
      <c r="E39" s="2" t="s">
        <v>62</v>
      </c>
      <c r="F39" s="2" t="s">
        <v>63</v>
      </c>
      <c r="G39" s="2" t="s">
        <v>8</v>
      </c>
      <c r="H39" s="2" t="s">
        <v>133</v>
      </c>
      <c r="I39" s="2" t="s">
        <v>133</v>
      </c>
      <c r="J39" s="2" t="s">
        <v>17</v>
      </c>
      <c r="K39" s="2" t="s">
        <v>22</v>
      </c>
      <c r="L39" s="2">
        <v>7</v>
      </c>
      <c r="M39" s="2">
        <v>2360</v>
      </c>
      <c r="N39" s="2">
        <v>15</v>
      </c>
      <c r="O39" s="2">
        <v>14042</v>
      </c>
      <c r="P39" s="6">
        <v>780.95</v>
      </c>
    </row>
    <row r="40" spans="1:16" x14ac:dyDescent="0.3">
      <c r="A40" s="5" t="s">
        <v>151</v>
      </c>
      <c r="B40" s="2" t="s">
        <v>152</v>
      </c>
      <c r="C40" s="2" t="str">
        <f t="shared" si="0"/>
        <v>January</v>
      </c>
      <c r="D40" s="2" t="s">
        <v>5</v>
      </c>
      <c r="E40" s="2" t="s">
        <v>57</v>
      </c>
      <c r="F40" s="2" t="s">
        <v>58</v>
      </c>
      <c r="G40" s="2" t="s">
        <v>9</v>
      </c>
      <c r="H40" s="2" t="s">
        <v>72</v>
      </c>
      <c r="I40" s="2" t="s">
        <v>72</v>
      </c>
      <c r="J40" s="2" t="s">
        <v>12</v>
      </c>
      <c r="K40" s="2" t="s">
        <v>22</v>
      </c>
      <c r="L40" s="2">
        <v>10</v>
      </c>
      <c r="M40" s="2">
        <v>18452</v>
      </c>
      <c r="N40" s="2">
        <v>20</v>
      </c>
      <c r="O40" s="2">
        <v>147616</v>
      </c>
      <c r="P40" s="6">
        <v>7947.81</v>
      </c>
    </row>
    <row r="41" spans="1:16" x14ac:dyDescent="0.3">
      <c r="A41" s="5" t="s">
        <v>153</v>
      </c>
      <c r="B41" s="2" t="s">
        <v>154</v>
      </c>
      <c r="C41" s="2" t="str">
        <f t="shared" si="0"/>
        <v>April</v>
      </c>
      <c r="D41" s="2" t="s">
        <v>4</v>
      </c>
      <c r="E41" s="2" t="s">
        <v>62</v>
      </c>
      <c r="F41" s="2" t="s">
        <v>63</v>
      </c>
      <c r="G41" s="2" t="s">
        <v>9</v>
      </c>
      <c r="H41" s="2" t="s">
        <v>126</v>
      </c>
      <c r="I41" s="2" t="s">
        <v>126</v>
      </c>
      <c r="J41" s="2" t="s">
        <v>17</v>
      </c>
      <c r="K41" s="2" t="s">
        <v>22</v>
      </c>
      <c r="L41" s="2">
        <v>3</v>
      </c>
      <c r="M41" s="2">
        <v>34769</v>
      </c>
      <c r="N41" s="2">
        <v>10</v>
      </c>
      <c r="O41" s="2">
        <v>93876.3</v>
      </c>
      <c r="P41" s="6">
        <v>18997.04</v>
      </c>
    </row>
    <row r="42" spans="1:16" x14ac:dyDescent="0.3">
      <c r="A42" s="5" t="s">
        <v>155</v>
      </c>
      <c r="B42" s="2" t="s">
        <v>156</v>
      </c>
      <c r="C42" s="2" t="str">
        <f t="shared" si="0"/>
        <v>December</v>
      </c>
      <c r="D42" s="2" t="s">
        <v>3</v>
      </c>
      <c r="E42" s="2" t="s">
        <v>117</v>
      </c>
      <c r="F42" s="2" t="s">
        <v>117</v>
      </c>
      <c r="G42" s="2" t="s">
        <v>8</v>
      </c>
      <c r="H42" s="2" t="s">
        <v>133</v>
      </c>
      <c r="I42" s="2" t="s">
        <v>133</v>
      </c>
      <c r="J42" s="2" t="s">
        <v>12</v>
      </c>
      <c r="K42" s="2" t="s">
        <v>22</v>
      </c>
      <c r="L42" s="2">
        <v>5</v>
      </c>
      <c r="M42" s="2">
        <v>33532</v>
      </c>
      <c r="N42" s="2">
        <v>0</v>
      </c>
      <c r="O42" s="2">
        <v>167660</v>
      </c>
      <c r="P42" s="6">
        <v>45857.71</v>
      </c>
    </row>
    <row r="43" spans="1:16" x14ac:dyDescent="0.3">
      <c r="A43" s="5" t="s">
        <v>157</v>
      </c>
      <c r="B43" s="2" t="s">
        <v>158</v>
      </c>
      <c r="C43" s="2" t="str">
        <f t="shared" si="0"/>
        <v>May</v>
      </c>
      <c r="D43" s="2" t="s">
        <v>3</v>
      </c>
      <c r="E43" s="2" t="s">
        <v>75</v>
      </c>
      <c r="F43" s="2" t="s">
        <v>75</v>
      </c>
      <c r="G43" s="2" t="s">
        <v>10</v>
      </c>
      <c r="H43" s="2" t="s">
        <v>69</v>
      </c>
      <c r="I43" s="2" t="s">
        <v>69</v>
      </c>
      <c r="J43" s="2" t="s">
        <v>18</v>
      </c>
      <c r="K43" s="2" t="s">
        <v>22</v>
      </c>
      <c r="L43" s="2">
        <v>4</v>
      </c>
      <c r="M43" s="2">
        <v>48531</v>
      </c>
      <c r="N43" s="2">
        <v>5</v>
      </c>
      <c r="O43" s="2">
        <v>184417.8</v>
      </c>
      <c r="P43" s="6">
        <v>38788.660000000003</v>
      </c>
    </row>
    <row r="44" spans="1:16" x14ac:dyDescent="0.3">
      <c r="A44" s="5" t="s">
        <v>159</v>
      </c>
      <c r="B44" s="2" t="s">
        <v>160</v>
      </c>
      <c r="C44" s="2" t="str">
        <f t="shared" si="0"/>
        <v>September</v>
      </c>
      <c r="D44" s="2" t="s">
        <v>3</v>
      </c>
      <c r="E44" s="2" t="s">
        <v>75</v>
      </c>
      <c r="F44" s="2" t="s">
        <v>75</v>
      </c>
      <c r="G44" s="2" t="s">
        <v>8</v>
      </c>
      <c r="H44" s="2" t="s">
        <v>133</v>
      </c>
      <c r="I44" s="2" t="s">
        <v>133</v>
      </c>
      <c r="J44" s="2" t="s">
        <v>12</v>
      </c>
      <c r="K44" s="2" t="s">
        <v>21</v>
      </c>
      <c r="L44" s="2">
        <v>2</v>
      </c>
      <c r="M44" s="2">
        <v>40674</v>
      </c>
      <c r="N44" s="2">
        <v>0</v>
      </c>
      <c r="O44" s="2">
        <v>81348</v>
      </c>
      <c r="P44" s="6">
        <v>12627.58</v>
      </c>
    </row>
    <row r="45" spans="1:16" x14ac:dyDescent="0.3">
      <c r="A45" s="5" t="s">
        <v>161</v>
      </c>
      <c r="B45" s="2" t="s">
        <v>154</v>
      </c>
      <c r="C45" s="2" t="str">
        <f t="shared" si="0"/>
        <v>April</v>
      </c>
      <c r="D45" s="2" t="s">
        <v>5</v>
      </c>
      <c r="E45" s="2" t="s">
        <v>52</v>
      </c>
      <c r="F45" s="2" t="s">
        <v>53</v>
      </c>
      <c r="G45" s="2" t="s">
        <v>9</v>
      </c>
      <c r="H45" s="2" t="s">
        <v>126</v>
      </c>
      <c r="I45" s="2" t="s">
        <v>126</v>
      </c>
      <c r="J45" s="2" t="s">
        <v>16</v>
      </c>
      <c r="K45" s="2" t="s">
        <v>21</v>
      </c>
      <c r="L45" s="2">
        <v>6</v>
      </c>
      <c r="M45" s="2">
        <v>3754</v>
      </c>
      <c r="N45" s="2">
        <v>0</v>
      </c>
      <c r="O45" s="2">
        <v>22524</v>
      </c>
      <c r="P45" s="6">
        <v>1433.94</v>
      </c>
    </row>
    <row r="46" spans="1:16" x14ac:dyDescent="0.3">
      <c r="A46" s="5" t="s">
        <v>162</v>
      </c>
      <c r="B46" s="2" t="s">
        <v>163</v>
      </c>
      <c r="C46" s="2" t="str">
        <f t="shared" si="0"/>
        <v>March</v>
      </c>
      <c r="D46" s="2" t="s">
        <v>5</v>
      </c>
      <c r="E46" s="2" t="s">
        <v>57</v>
      </c>
      <c r="F46" s="2" t="s">
        <v>58</v>
      </c>
      <c r="G46" s="2" t="s">
        <v>9</v>
      </c>
      <c r="H46" s="2" t="s">
        <v>126</v>
      </c>
      <c r="I46" s="2" t="s">
        <v>126</v>
      </c>
      <c r="J46" s="2" t="s">
        <v>14</v>
      </c>
      <c r="K46" s="2" t="s">
        <v>22</v>
      </c>
      <c r="L46" s="2">
        <v>3</v>
      </c>
      <c r="M46" s="2">
        <v>6847</v>
      </c>
      <c r="N46" s="2">
        <v>20</v>
      </c>
      <c r="O46" s="2">
        <v>16432.8</v>
      </c>
      <c r="P46" s="6">
        <v>3247.7</v>
      </c>
    </row>
    <row r="47" spans="1:16" x14ac:dyDescent="0.3">
      <c r="A47" s="5" t="s">
        <v>164</v>
      </c>
      <c r="B47" s="2" t="s">
        <v>165</v>
      </c>
      <c r="C47" s="2" t="str">
        <f t="shared" si="0"/>
        <v>February</v>
      </c>
      <c r="D47" s="2" t="s">
        <v>2</v>
      </c>
      <c r="E47" s="2" t="s">
        <v>81</v>
      </c>
      <c r="F47" s="2" t="s">
        <v>82</v>
      </c>
      <c r="G47" s="2" t="s">
        <v>8</v>
      </c>
      <c r="H47" s="2" t="s">
        <v>133</v>
      </c>
      <c r="I47" s="2" t="s">
        <v>133</v>
      </c>
      <c r="J47" s="2" t="s">
        <v>17</v>
      </c>
      <c r="K47" s="2" t="s">
        <v>21</v>
      </c>
      <c r="L47" s="2">
        <v>10</v>
      </c>
      <c r="M47" s="2">
        <v>2029</v>
      </c>
      <c r="N47" s="2">
        <v>0</v>
      </c>
      <c r="O47" s="2">
        <v>20290</v>
      </c>
      <c r="P47" s="6">
        <v>1588.73</v>
      </c>
    </row>
    <row r="48" spans="1:16" x14ac:dyDescent="0.3">
      <c r="A48" s="5" t="s">
        <v>166</v>
      </c>
      <c r="B48" s="2" t="s">
        <v>167</v>
      </c>
      <c r="C48" s="2" t="str">
        <f t="shared" si="0"/>
        <v>February</v>
      </c>
      <c r="D48" s="2" t="s">
        <v>2</v>
      </c>
      <c r="E48" s="2" t="s">
        <v>103</v>
      </c>
      <c r="F48" s="2" t="s">
        <v>104</v>
      </c>
      <c r="G48" s="2" t="s">
        <v>8</v>
      </c>
      <c r="H48" s="2" t="s">
        <v>76</v>
      </c>
      <c r="I48" s="2" t="s">
        <v>76</v>
      </c>
      <c r="J48" s="2" t="s">
        <v>19</v>
      </c>
      <c r="K48" s="2" t="s">
        <v>21</v>
      </c>
      <c r="L48" s="2">
        <v>9</v>
      </c>
      <c r="M48" s="2">
        <v>26964</v>
      </c>
      <c r="N48" s="2">
        <v>15</v>
      </c>
      <c r="O48" s="2">
        <v>206274.6</v>
      </c>
      <c r="P48" s="6">
        <v>60126.65</v>
      </c>
    </row>
    <row r="49" spans="1:16" x14ac:dyDescent="0.3">
      <c r="A49" s="5" t="s">
        <v>168</v>
      </c>
      <c r="B49" s="2" t="s">
        <v>169</v>
      </c>
      <c r="C49" s="2" t="str">
        <f t="shared" si="0"/>
        <v>April</v>
      </c>
      <c r="D49" s="2" t="s">
        <v>2</v>
      </c>
      <c r="E49" s="2" t="s">
        <v>103</v>
      </c>
      <c r="F49" s="2" t="s">
        <v>104</v>
      </c>
      <c r="G49" s="2" t="s">
        <v>8</v>
      </c>
      <c r="H49" s="2" t="s">
        <v>76</v>
      </c>
      <c r="I49" s="2" t="s">
        <v>76</v>
      </c>
      <c r="J49" s="2" t="s">
        <v>15</v>
      </c>
      <c r="K49" s="2" t="s">
        <v>21</v>
      </c>
      <c r="L49" s="2">
        <v>5</v>
      </c>
      <c r="M49" s="2">
        <v>38965</v>
      </c>
      <c r="N49" s="2">
        <v>0</v>
      </c>
      <c r="O49" s="2">
        <v>194825</v>
      </c>
      <c r="P49" s="6">
        <v>47770.21</v>
      </c>
    </row>
    <row r="50" spans="1:16" x14ac:dyDescent="0.3">
      <c r="A50" s="5" t="s">
        <v>170</v>
      </c>
      <c r="B50" s="2" t="s">
        <v>171</v>
      </c>
      <c r="C50" s="2" t="str">
        <f t="shared" si="0"/>
        <v>December</v>
      </c>
      <c r="D50" s="2" t="s">
        <v>4</v>
      </c>
      <c r="E50" s="2" t="s">
        <v>67</v>
      </c>
      <c r="F50" s="2" t="s">
        <v>68</v>
      </c>
      <c r="G50" s="2" t="s">
        <v>9</v>
      </c>
      <c r="H50" s="2" t="s">
        <v>126</v>
      </c>
      <c r="I50" s="2" t="s">
        <v>126</v>
      </c>
      <c r="J50" s="2" t="s">
        <v>19</v>
      </c>
      <c r="K50" s="2" t="s">
        <v>21</v>
      </c>
      <c r="L50" s="2">
        <v>7</v>
      </c>
      <c r="M50" s="2">
        <v>13132</v>
      </c>
      <c r="N50" s="2">
        <v>0</v>
      </c>
      <c r="O50" s="2">
        <v>91924</v>
      </c>
      <c r="P50" s="6">
        <v>24922.59</v>
      </c>
    </row>
    <row r="51" spans="1:16" x14ac:dyDescent="0.3">
      <c r="A51" s="5" t="s">
        <v>172</v>
      </c>
      <c r="B51" s="2" t="s">
        <v>173</v>
      </c>
      <c r="C51" s="2" t="str">
        <f t="shared" si="0"/>
        <v>April</v>
      </c>
      <c r="D51" s="2" t="s">
        <v>5</v>
      </c>
      <c r="E51" s="2" t="s">
        <v>57</v>
      </c>
      <c r="F51" s="2" t="s">
        <v>58</v>
      </c>
      <c r="G51" s="2" t="s">
        <v>10</v>
      </c>
      <c r="H51" s="2" t="s">
        <v>69</v>
      </c>
      <c r="I51" s="2" t="s">
        <v>69</v>
      </c>
      <c r="J51" s="2" t="s">
        <v>19</v>
      </c>
      <c r="K51" s="2" t="s">
        <v>21</v>
      </c>
      <c r="L51" s="2">
        <v>10</v>
      </c>
      <c r="M51" s="2">
        <v>20344</v>
      </c>
      <c r="N51" s="2">
        <v>0</v>
      </c>
      <c r="O51" s="2">
        <v>203440</v>
      </c>
      <c r="P51" s="6">
        <v>49381.87</v>
      </c>
    </row>
    <row r="52" spans="1:16" x14ac:dyDescent="0.3">
      <c r="A52" s="5" t="s">
        <v>174</v>
      </c>
      <c r="B52" s="2" t="s">
        <v>175</v>
      </c>
      <c r="C52" s="2" t="str">
        <f t="shared" si="0"/>
        <v>November</v>
      </c>
      <c r="D52" s="2" t="s">
        <v>4</v>
      </c>
      <c r="E52" s="2" t="s">
        <v>67</v>
      </c>
      <c r="F52" s="2" t="s">
        <v>68</v>
      </c>
      <c r="G52" s="2" t="s">
        <v>10</v>
      </c>
      <c r="H52" s="2" t="s">
        <v>69</v>
      </c>
      <c r="I52" s="2" t="s">
        <v>69</v>
      </c>
      <c r="J52" s="2" t="s">
        <v>13</v>
      </c>
      <c r="K52" s="2" t="s">
        <v>22</v>
      </c>
      <c r="L52" s="2">
        <v>1</v>
      </c>
      <c r="M52" s="2">
        <v>23291</v>
      </c>
      <c r="N52" s="2">
        <v>10</v>
      </c>
      <c r="O52" s="2">
        <v>20961.900000000001</v>
      </c>
      <c r="P52" s="6">
        <v>2407.2199999999998</v>
      </c>
    </row>
    <row r="53" spans="1:16" x14ac:dyDescent="0.3">
      <c r="A53" s="5" t="s">
        <v>176</v>
      </c>
      <c r="B53" s="2" t="s">
        <v>177</v>
      </c>
      <c r="C53" s="2" t="str">
        <f t="shared" si="0"/>
        <v>September</v>
      </c>
      <c r="D53" s="2" t="s">
        <v>4</v>
      </c>
      <c r="E53" s="2" t="s">
        <v>67</v>
      </c>
      <c r="F53" s="2" t="s">
        <v>68</v>
      </c>
      <c r="G53" s="2" t="s">
        <v>8</v>
      </c>
      <c r="H53" s="2" t="s">
        <v>133</v>
      </c>
      <c r="I53" s="2" t="s">
        <v>133</v>
      </c>
      <c r="J53" s="2" t="s">
        <v>13</v>
      </c>
      <c r="K53" s="2" t="s">
        <v>21</v>
      </c>
      <c r="L53" s="2">
        <v>6</v>
      </c>
      <c r="M53" s="2">
        <v>20087</v>
      </c>
      <c r="N53" s="2">
        <v>10</v>
      </c>
      <c r="O53" s="2">
        <v>108469.8</v>
      </c>
      <c r="P53" s="6">
        <v>22305.84</v>
      </c>
    </row>
    <row r="54" spans="1:16" x14ac:dyDescent="0.3">
      <c r="A54" s="5" t="s">
        <v>178</v>
      </c>
      <c r="B54" s="2" t="s">
        <v>179</v>
      </c>
      <c r="C54" s="2" t="str">
        <f t="shared" si="0"/>
        <v>August</v>
      </c>
      <c r="D54" s="2" t="s">
        <v>3</v>
      </c>
      <c r="E54" s="2" t="s">
        <v>75</v>
      </c>
      <c r="F54" s="2" t="s">
        <v>75</v>
      </c>
      <c r="G54" s="2" t="s">
        <v>8</v>
      </c>
      <c r="H54" s="2" t="s">
        <v>133</v>
      </c>
      <c r="I54" s="2" t="s">
        <v>133</v>
      </c>
      <c r="J54" s="2" t="s">
        <v>19</v>
      </c>
      <c r="K54" s="2" t="s">
        <v>22</v>
      </c>
      <c r="L54" s="2">
        <v>10</v>
      </c>
      <c r="M54" s="2">
        <v>19029</v>
      </c>
      <c r="N54" s="2">
        <v>15</v>
      </c>
      <c r="O54" s="2">
        <v>161746.5</v>
      </c>
      <c r="P54" s="6">
        <v>22374.79</v>
      </c>
    </row>
    <row r="55" spans="1:16" x14ac:dyDescent="0.3">
      <c r="A55" s="5" t="s">
        <v>180</v>
      </c>
      <c r="B55" s="2" t="s">
        <v>181</v>
      </c>
      <c r="C55" s="2" t="str">
        <f t="shared" si="0"/>
        <v>March</v>
      </c>
      <c r="D55" s="2" t="s">
        <v>4</v>
      </c>
      <c r="E55" s="2" t="s">
        <v>62</v>
      </c>
      <c r="F55" s="2" t="s">
        <v>63</v>
      </c>
      <c r="G55" s="2" t="s">
        <v>10</v>
      </c>
      <c r="H55" s="2" t="s">
        <v>83</v>
      </c>
      <c r="I55" s="2" t="s">
        <v>83</v>
      </c>
      <c r="J55" s="2" t="s">
        <v>18</v>
      </c>
      <c r="K55" s="2" t="s">
        <v>21</v>
      </c>
      <c r="L55" s="2">
        <v>3</v>
      </c>
      <c r="M55" s="2">
        <v>35973</v>
      </c>
      <c r="N55" s="2">
        <v>0</v>
      </c>
      <c r="O55" s="2">
        <v>107919</v>
      </c>
      <c r="P55" s="6">
        <v>20849.080000000002</v>
      </c>
    </row>
    <row r="56" spans="1:16" x14ac:dyDescent="0.3">
      <c r="A56" s="5" t="s">
        <v>182</v>
      </c>
      <c r="B56" s="2" t="s">
        <v>183</v>
      </c>
      <c r="C56" s="2" t="str">
        <f t="shared" si="0"/>
        <v>March</v>
      </c>
      <c r="D56" s="2" t="s">
        <v>4</v>
      </c>
      <c r="E56" s="2" t="s">
        <v>62</v>
      </c>
      <c r="F56" s="2" t="s">
        <v>63</v>
      </c>
      <c r="G56" s="2" t="s">
        <v>10</v>
      </c>
      <c r="H56" s="2" t="s">
        <v>54</v>
      </c>
      <c r="I56" s="2" t="s">
        <v>54</v>
      </c>
      <c r="J56" s="2" t="s">
        <v>18</v>
      </c>
      <c r="K56" s="2" t="s">
        <v>22</v>
      </c>
      <c r="L56" s="2">
        <v>6</v>
      </c>
      <c r="M56" s="2">
        <v>33954</v>
      </c>
      <c r="N56" s="2">
        <v>0</v>
      </c>
      <c r="O56" s="2">
        <v>203724</v>
      </c>
      <c r="P56" s="6">
        <v>28133.85</v>
      </c>
    </row>
    <row r="57" spans="1:16" x14ac:dyDescent="0.3">
      <c r="A57" s="5" t="s">
        <v>184</v>
      </c>
      <c r="B57" s="2" t="s">
        <v>66</v>
      </c>
      <c r="C57" s="2" t="str">
        <f t="shared" si="0"/>
        <v>March</v>
      </c>
      <c r="D57" s="2" t="s">
        <v>3</v>
      </c>
      <c r="E57" s="2" t="s">
        <v>117</v>
      </c>
      <c r="F57" s="2" t="s">
        <v>117</v>
      </c>
      <c r="G57" s="2" t="s">
        <v>8</v>
      </c>
      <c r="H57" s="2" t="s">
        <v>64</v>
      </c>
      <c r="I57" s="2" t="s">
        <v>64</v>
      </c>
      <c r="J57" s="2" t="s">
        <v>17</v>
      </c>
      <c r="K57" s="2" t="s">
        <v>22</v>
      </c>
      <c r="L57" s="2">
        <v>4</v>
      </c>
      <c r="M57" s="2">
        <v>3214</v>
      </c>
      <c r="N57" s="2">
        <v>15</v>
      </c>
      <c r="O57" s="2">
        <v>10927.6</v>
      </c>
      <c r="P57" s="6">
        <v>1866.54</v>
      </c>
    </row>
    <row r="58" spans="1:16" x14ac:dyDescent="0.3">
      <c r="A58" s="5" t="s">
        <v>185</v>
      </c>
      <c r="B58" s="2" t="s">
        <v>186</v>
      </c>
      <c r="C58" s="2" t="str">
        <f t="shared" si="0"/>
        <v>October</v>
      </c>
      <c r="D58" s="2" t="s">
        <v>3</v>
      </c>
      <c r="E58" s="2" t="s">
        <v>75</v>
      </c>
      <c r="F58" s="2" t="s">
        <v>75</v>
      </c>
      <c r="G58" s="2" t="s">
        <v>8</v>
      </c>
      <c r="H58" s="2" t="s">
        <v>76</v>
      </c>
      <c r="I58" s="2" t="s">
        <v>76</v>
      </c>
      <c r="J58" s="2" t="s">
        <v>15</v>
      </c>
      <c r="K58" s="2" t="s">
        <v>22</v>
      </c>
      <c r="L58" s="2">
        <v>5</v>
      </c>
      <c r="M58" s="2">
        <v>11499</v>
      </c>
      <c r="N58" s="2">
        <v>20</v>
      </c>
      <c r="O58" s="2">
        <v>45996</v>
      </c>
      <c r="P58" s="6">
        <v>12032.41</v>
      </c>
    </row>
    <row r="59" spans="1:16" x14ac:dyDescent="0.3">
      <c r="A59" s="5" t="s">
        <v>187</v>
      </c>
      <c r="B59" s="2" t="s">
        <v>188</v>
      </c>
      <c r="C59" s="2" t="str">
        <f t="shared" si="0"/>
        <v>February</v>
      </c>
      <c r="D59" s="2" t="s">
        <v>5</v>
      </c>
      <c r="E59" s="2" t="s">
        <v>57</v>
      </c>
      <c r="F59" s="2" t="s">
        <v>58</v>
      </c>
      <c r="G59" s="2" t="s">
        <v>10</v>
      </c>
      <c r="H59" s="2" t="s">
        <v>69</v>
      </c>
      <c r="I59" s="2" t="s">
        <v>69</v>
      </c>
      <c r="J59" s="2" t="s">
        <v>17</v>
      </c>
      <c r="K59" s="2" t="s">
        <v>21</v>
      </c>
      <c r="L59" s="2">
        <v>2</v>
      </c>
      <c r="M59" s="2">
        <v>22173</v>
      </c>
      <c r="N59" s="2">
        <v>0</v>
      </c>
      <c r="O59" s="2">
        <v>44346</v>
      </c>
      <c r="P59" s="6">
        <v>8066.34</v>
      </c>
    </row>
    <row r="60" spans="1:16" x14ac:dyDescent="0.3">
      <c r="A60" s="5" t="s">
        <v>189</v>
      </c>
      <c r="B60" s="2" t="s">
        <v>190</v>
      </c>
      <c r="C60" s="2" t="str">
        <f t="shared" si="0"/>
        <v>October</v>
      </c>
      <c r="D60" s="2" t="s">
        <v>4</v>
      </c>
      <c r="E60" s="2" t="s">
        <v>67</v>
      </c>
      <c r="F60" s="2" t="s">
        <v>68</v>
      </c>
      <c r="G60" s="2" t="s">
        <v>10</v>
      </c>
      <c r="H60" s="2" t="s">
        <v>100</v>
      </c>
      <c r="I60" s="2" t="s">
        <v>100</v>
      </c>
      <c r="J60" s="2" t="s">
        <v>18</v>
      </c>
      <c r="K60" s="2" t="s">
        <v>21</v>
      </c>
      <c r="L60" s="2">
        <v>3</v>
      </c>
      <c r="M60" s="2">
        <v>450</v>
      </c>
      <c r="N60" s="2">
        <v>15</v>
      </c>
      <c r="O60" s="2">
        <v>1147.5</v>
      </c>
      <c r="P60" s="6">
        <v>272.89</v>
      </c>
    </row>
    <row r="61" spans="1:16" x14ac:dyDescent="0.3">
      <c r="A61" s="5" t="s">
        <v>191</v>
      </c>
      <c r="B61" s="2" t="s">
        <v>192</v>
      </c>
      <c r="C61" s="2" t="str">
        <f t="shared" si="0"/>
        <v>April</v>
      </c>
      <c r="D61" s="2" t="s">
        <v>2</v>
      </c>
      <c r="E61" s="2" t="s">
        <v>103</v>
      </c>
      <c r="F61" s="2" t="s">
        <v>104</v>
      </c>
      <c r="G61" s="2" t="s">
        <v>10</v>
      </c>
      <c r="H61" s="2" t="s">
        <v>54</v>
      </c>
      <c r="I61" s="2" t="s">
        <v>54</v>
      </c>
      <c r="J61" s="2" t="s">
        <v>17</v>
      </c>
      <c r="K61" s="2" t="s">
        <v>21</v>
      </c>
      <c r="L61" s="2">
        <v>1</v>
      </c>
      <c r="M61" s="2">
        <v>6459</v>
      </c>
      <c r="N61" s="2">
        <v>5</v>
      </c>
      <c r="O61" s="2">
        <v>6136.05</v>
      </c>
      <c r="P61" s="6">
        <v>714.26</v>
      </c>
    </row>
    <row r="62" spans="1:16" x14ac:dyDescent="0.3">
      <c r="A62" s="5" t="s">
        <v>193</v>
      </c>
      <c r="B62" s="2" t="s">
        <v>194</v>
      </c>
      <c r="C62" s="2" t="str">
        <f t="shared" si="0"/>
        <v>February</v>
      </c>
      <c r="D62" s="2" t="s">
        <v>4</v>
      </c>
      <c r="E62" s="2" t="s">
        <v>62</v>
      </c>
      <c r="F62" s="2" t="s">
        <v>63</v>
      </c>
      <c r="G62" s="2" t="s">
        <v>8</v>
      </c>
      <c r="H62" s="2" t="s">
        <v>93</v>
      </c>
      <c r="I62" s="2" t="s">
        <v>93</v>
      </c>
      <c r="J62" s="2" t="s">
        <v>14</v>
      </c>
      <c r="K62" s="2" t="s">
        <v>21</v>
      </c>
      <c r="L62" s="2">
        <v>6</v>
      </c>
      <c r="M62" s="2">
        <v>29966</v>
      </c>
      <c r="N62" s="2">
        <v>15</v>
      </c>
      <c r="O62" s="2">
        <v>152826.6</v>
      </c>
      <c r="P62" s="6">
        <v>22861.39</v>
      </c>
    </row>
    <row r="63" spans="1:16" x14ac:dyDescent="0.3">
      <c r="A63" s="5" t="s">
        <v>195</v>
      </c>
      <c r="B63" s="2" t="s">
        <v>196</v>
      </c>
      <c r="C63" s="2" t="str">
        <f t="shared" si="0"/>
        <v>March</v>
      </c>
      <c r="D63" s="2" t="s">
        <v>5</v>
      </c>
      <c r="E63" s="2" t="s">
        <v>52</v>
      </c>
      <c r="F63" s="2" t="s">
        <v>53</v>
      </c>
      <c r="G63" s="2" t="s">
        <v>8</v>
      </c>
      <c r="H63" s="2" t="s">
        <v>93</v>
      </c>
      <c r="I63" s="2" t="s">
        <v>93</v>
      </c>
      <c r="J63" s="2" t="s">
        <v>16</v>
      </c>
      <c r="K63" s="2" t="s">
        <v>22</v>
      </c>
      <c r="L63" s="2">
        <v>7</v>
      </c>
      <c r="M63" s="2">
        <v>1663</v>
      </c>
      <c r="N63" s="2">
        <v>0</v>
      </c>
      <c r="O63" s="2">
        <v>11641</v>
      </c>
      <c r="P63" s="6">
        <v>2163.67</v>
      </c>
    </row>
    <row r="64" spans="1:16" x14ac:dyDescent="0.3">
      <c r="A64" s="5" t="s">
        <v>197</v>
      </c>
      <c r="B64" s="2" t="s">
        <v>198</v>
      </c>
      <c r="C64" s="2" t="str">
        <f t="shared" si="0"/>
        <v>April</v>
      </c>
      <c r="D64" s="2" t="s">
        <v>3</v>
      </c>
      <c r="E64" s="2" t="s">
        <v>75</v>
      </c>
      <c r="F64" s="2" t="s">
        <v>75</v>
      </c>
      <c r="G64" s="2" t="s">
        <v>10</v>
      </c>
      <c r="H64" s="2" t="s">
        <v>54</v>
      </c>
      <c r="I64" s="2" t="s">
        <v>54</v>
      </c>
      <c r="J64" s="2" t="s">
        <v>14</v>
      </c>
      <c r="K64" s="2" t="s">
        <v>22</v>
      </c>
      <c r="L64" s="2">
        <v>5</v>
      </c>
      <c r="M64" s="2">
        <v>45572</v>
      </c>
      <c r="N64" s="2">
        <v>15</v>
      </c>
      <c r="O64" s="2">
        <v>193681</v>
      </c>
      <c r="P64" s="6">
        <v>48347.59</v>
      </c>
    </row>
    <row r="65" spans="1:16" x14ac:dyDescent="0.3">
      <c r="A65" s="5" t="s">
        <v>199</v>
      </c>
      <c r="B65" s="2" t="s">
        <v>200</v>
      </c>
      <c r="C65" s="2" t="str">
        <f t="shared" si="0"/>
        <v>May</v>
      </c>
      <c r="D65" s="2" t="s">
        <v>3</v>
      </c>
      <c r="E65" s="2" t="s">
        <v>75</v>
      </c>
      <c r="F65" s="2" t="s">
        <v>75</v>
      </c>
      <c r="G65" s="2" t="s">
        <v>10</v>
      </c>
      <c r="H65" s="2" t="s">
        <v>83</v>
      </c>
      <c r="I65" s="2" t="s">
        <v>83</v>
      </c>
      <c r="J65" s="2" t="s">
        <v>13</v>
      </c>
      <c r="K65" s="2" t="s">
        <v>22</v>
      </c>
      <c r="L65" s="2">
        <v>7</v>
      </c>
      <c r="M65" s="2">
        <v>41016</v>
      </c>
      <c r="N65" s="2">
        <v>15</v>
      </c>
      <c r="O65" s="2">
        <v>244045.2</v>
      </c>
      <c r="P65" s="6">
        <v>43391.47</v>
      </c>
    </row>
    <row r="66" spans="1:16" x14ac:dyDescent="0.3">
      <c r="A66" s="5" t="s">
        <v>201</v>
      </c>
      <c r="B66" s="2" t="s">
        <v>202</v>
      </c>
      <c r="C66" s="2" t="str">
        <f t="shared" si="0"/>
        <v>May</v>
      </c>
      <c r="D66" s="2" t="s">
        <v>3</v>
      </c>
      <c r="E66" s="2" t="s">
        <v>75</v>
      </c>
      <c r="F66" s="2" t="s">
        <v>75</v>
      </c>
      <c r="G66" s="2" t="s">
        <v>8</v>
      </c>
      <c r="H66" s="2" t="s">
        <v>133</v>
      </c>
      <c r="I66" s="2" t="s">
        <v>133</v>
      </c>
      <c r="J66" s="2" t="s">
        <v>12</v>
      </c>
      <c r="K66" s="2" t="s">
        <v>22</v>
      </c>
      <c r="L66" s="2">
        <v>9</v>
      </c>
      <c r="M66" s="2">
        <v>13035</v>
      </c>
      <c r="N66" s="2">
        <v>10</v>
      </c>
      <c r="O66" s="2">
        <v>105583.5</v>
      </c>
      <c r="P66" s="6">
        <v>21571.15</v>
      </c>
    </row>
    <row r="67" spans="1:16" x14ac:dyDescent="0.3">
      <c r="A67" s="5" t="s">
        <v>203</v>
      </c>
      <c r="B67" s="2" t="s">
        <v>204</v>
      </c>
      <c r="C67" s="2" t="str">
        <f t="shared" ref="C67:C130" si="1">TEXT(B67,"mmmm")</f>
        <v>October</v>
      </c>
      <c r="D67" s="2" t="s">
        <v>4</v>
      </c>
      <c r="E67" s="2" t="s">
        <v>67</v>
      </c>
      <c r="F67" s="2" t="s">
        <v>68</v>
      </c>
      <c r="G67" s="2" t="s">
        <v>8</v>
      </c>
      <c r="H67" s="2" t="s">
        <v>64</v>
      </c>
      <c r="I67" s="2" t="s">
        <v>64</v>
      </c>
      <c r="J67" s="2" t="s">
        <v>14</v>
      </c>
      <c r="K67" s="2" t="s">
        <v>21</v>
      </c>
      <c r="L67" s="2">
        <v>4</v>
      </c>
      <c r="M67" s="2">
        <v>32047</v>
      </c>
      <c r="N67" s="2">
        <v>20</v>
      </c>
      <c r="O67" s="2">
        <v>102550.39999999999</v>
      </c>
      <c r="P67" s="6">
        <v>20740.12</v>
      </c>
    </row>
    <row r="68" spans="1:16" x14ac:dyDescent="0.3">
      <c r="A68" s="5" t="s">
        <v>205</v>
      </c>
      <c r="B68" s="2" t="s">
        <v>206</v>
      </c>
      <c r="C68" s="2" t="str">
        <f t="shared" si="1"/>
        <v>May</v>
      </c>
      <c r="D68" s="2" t="s">
        <v>5</v>
      </c>
      <c r="E68" s="2" t="s">
        <v>57</v>
      </c>
      <c r="F68" s="2" t="s">
        <v>58</v>
      </c>
      <c r="G68" s="2" t="s">
        <v>8</v>
      </c>
      <c r="H68" s="2" t="s">
        <v>64</v>
      </c>
      <c r="I68" s="2" t="s">
        <v>64</v>
      </c>
      <c r="J68" s="2" t="s">
        <v>15</v>
      </c>
      <c r="K68" s="2" t="s">
        <v>21</v>
      </c>
      <c r="L68" s="2">
        <v>2</v>
      </c>
      <c r="M68" s="2">
        <v>33276</v>
      </c>
      <c r="N68" s="2">
        <v>10</v>
      </c>
      <c r="O68" s="2">
        <v>59896.800000000003</v>
      </c>
      <c r="P68" s="6">
        <v>8891.26</v>
      </c>
    </row>
    <row r="69" spans="1:16" x14ac:dyDescent="0.3">
      <c r="A69" s="5" t="s">
        <v>207</v>
      </c>
      <c r="B69" s="2" t="s">
        <v>208</v>
      </c>
      <c r="C69" s="2" t="str">
        <f t="shared" si="1"/>
        <v>January</v>
      </c>
      <c r="D69" s="2" t="s">
        <v>2</v>
      </c>
      <c r="E69" s="2" t="s">
        <v>81</v>
      </c>
      <c r="F69" s="2" t="s">
        <v>82</v>
      </c>
      <c r="G69" s="2" t="s">
        <v>8</v>
      </c>
      <c r="H69" s="2" t="s">
        <v>76</v>
      </c>
      <c r="I69" s="2" t="s">
        <v>76</v>
      </c>
      <c r="J69" s="2" t="s">
        <v>18</v>
      </c>
      <c r="K69" s="2" t="s">
        <v>21</v>
      </c>
      <c r="L69" s="2">
        <v>6</v>
      </c>
      <c r="M69" s="2">
        <v>40362</v>
      </c>
      <c r="N69" s="2">
        <v>15</v>
      </c>
      <c r="O69" s="2">
        <v>205846.2</v>
      </c>
      <c r="P69" s="6">
        <v>51337.3</v>
      </c>
    </row>
    <row r="70" spans="1:16" x14ac:dyDescent="0.3">
      <c r="A70" s="5" t="s">
        <v>209</v>
      </c>
      <c r="B70" s="2" t="s">
        <v>210</v>
      </c>
      <c r="C70" s="2" t="str">
        <f t="shared" si="1"/>
        <v>May</v>
      </c>
      <c r="D70" s="2" t="s">
        <v>2</v>
      </c>
      <c r="E70" s="2" t="s">
        <v>81</v>
      </c>
      <c r="F70" s="2" t="s">
        <v>82</v>
      </c>
      <c r="G70" s="2" t="s">
        <v>8</v>
      </c>
      <c r="H70" s="2" t="s">
        <v>133</v>
      </c>
      <c r="I70" s="2" t="s">
        <v>133</v>
      </c>
      <c r="J70" s="2" t="s">
        <v>18</v>
      </c>
      <c r="K70" s="2" t="s">
        <v>22</v>
      </c>
      <c r="L70" s="2">
        <v>10</v>
      </c>
      <c r="M70" s="2">
        <v>30385</v>
      </c>
      <c r="N70" s="2">
        <v>5</v>
      </c>
      <c r="O70" s="2">
        <v>288657.5</v>
      </c>
      <c r="P70" s="6">
        <v>49844.27</v>
      </c>
    </row>
    <row r="71" spans="1:16" x14ac:dyDescent="0.3">
      <c r="A71" s="5" t="s">
        <v>211</v>
      </c>
      <c r="B71" s="2" t="s">
        <v>132</v>
      </c>
      <c r="C71" s="2" t="str">
        <f t="shared" si="1"/>
        <v>February</v>
      </c>
      <c r="D71" s="2" t="s">
        <v>5</v>
      </c>
      <c r="E71" s="2" t="s">
        <v>57</v>
      </c>
      <c r="F71" s="2" t="s">
        <v>58</v>
      </c>
      <c r="G71" s="2" t="s">
        <v>10</v>
      </c>
      <c r="H71" s="2" t="s">
        <v>83</v>
      </c>
      <c r="I71" s="2" t="s">
        <v>83</v>
      </c>
      <c r="J71" s="2" t="s">
        <v>12</v>
      </c>
      <c r="K71" s="2" t="s">
        <v>21</v>
      </c>
      <c r="L71" s="2">
        <v>8</v>
      </c>
      <c r="M71" s="2">
        <v>48604</v>
      </c>
      <c r="N71" s="2">
        <v>5</v>
      </c>
      <c r="O71" s="2">
        <v>369390.4</v>
      </c>
      <c r="P71" s="6">
        <v>24787.57</v>
      </c>
    </row>
    <row r="72" spans="1:16" x14ac:dyDescent="0.3">
      <c r="A72" s="5" t="s">
        <v>212</v>
      </c>
      <c r="B72" s="2" t="s">
        <v>213</v>
      </c>
      <c r="C72" s="2" t="str">
        <f t="shared" si="1"/>
        <v>May</v>
      </c>
      <c r="D72" s="2" t="s">
        <v>5</v>
      </c>
      <c r="E72" s="2" t="s">
        <v>57</v>
      </c>
      <c r="F72" s="2" t="s">
        <v>58</v>
      </c>
      <c r="G72" s="2" t="s">
        <v>8</v>
      </c>
      <c r="H72" s="2" t="s">
        <v>133</v>
      </c>
      <c r="I72" s="2" t="s">
        <v>133</v>
      </c>
      <c r="J72" s="2" t="s">
        <v>16</v>
      </c>
      <c r="K72" s="2" t="s">
        <v>22</v>
      </c>
      <c r="L72" s="2">
        <v>7</v>
      </c>
      <c r="M72" s="2">
        <v>1722</v>
      </c>
      <c r="N72" s="2">
        <v>20</v>
      </c>
      <c r="O72" s="2">
        <v>9643.2000000000007</v>
      </c>
      <c r="P72" s="6">
        <v>1870.1</v>
      </c>
    </row>
    <row r="73" spans="1:16" x14ac:dyDescent="0.3">
      <c r="A73" s="5" t="s">
        <v>214</v>
      </c>
      <c r="B73" s="2" t="s">
        <v>215</v>
      </c>
      <c r="C73" s="2" t="str">
        <f t="shared" si="1"/>
        <v>March</v>
      </c>
      <c r="D73" s="2" t="s">
        <v>2</v>
      </c>
      <c r="E73" s="2" t="s">
        <v>103</v>
      </c>
      <c r="F73" s="2" t="s">
        <v>104</v>
      </c>
      <c r="G73" s="2" t="s">
        <v>10</v>
      </c>
      <c r="H73" s="2" t="s">
        <v>69</v>
      </c>
      <c r="I73" s="2" t="s">
        <v>69</v>
      </c>
      <c r="J73" s="2" t="s">
        <v>13</v>
      </c>
      <c r="K73" s="2" t="s">
        <v>22</v>
      </c>
      <c r="L73" s="2">
        <v>6</v>
      </c>
      <c r="M73" s="2">
        <v>2848</v>
      </c>
      <c r="N73" s="2">
        <v>15</v>
      </c>
      <c r="O73" s="2">
        <v>14524.8</v>
      </c>
      <c r="P73" s="6">
        <v>2799.45</v>
      </c>
    </row>
    <row r="74" spans="1:16" x14ac:dyDescent="0.3">
      <c r="A74" s="5" t="s">
        <v>216</v>
      </c>
      <c r="B74" s="2" t="s">
        <v>217</v>
      </c>
      <c r="C74" s="2" t="str">
        <f t="shared" si="1"/>
        <v>April</v>
      </c>
      <c r="D74" s="2" t="s">
        <v>2</v>
      </c>
      <c r="E74" s="2" t="s">
        <v>81</v>
      </c>
      <c r="F74" s="2" t="s">
        <v>82</v>
      </c>
      <c r="G74" s="2" t="s">
        <v>9</v>
      </c>
      <c r="H74" s="2" t="s">
        <v>72</v>
      </c>
      <c r="I74" s="2" t="s">
        <v>72</v>
      </c>
      <c r="J74" s="2" t="s">
        <v>15</v>
      </c>
      <c r="K74" s="2" t="s">
        <v>21</v>
      </c>
      <c r="L74" s="2">
        <v>1</v>
      </c>
      <c r="M74" s="2">
        <v>9560</v>
      </c>
      <c r="N74" s="2">
        <v>20</v>
      </c>
      <c r="O74" s="2">
        <v>7648</v>
      </c>
      <c r="P74" s="6">
        <v>512.4</v>
      </c>
    </row>
    <row r="75" spans="1:16" x14ac:dyDescent="0.3">
      <c r="A75" s="5" t="s">
        <v>218</v>
      </c>
      <c r="B75" s="2" t="s">
        <v>219</v>
      </c>
      <c r="C75" s="2" t="str">
        <f t="shared" si="1"/>
        <v>April</v>
      </c>
      <c r="D75" s="2" t="s">
        <v>2</v>
      </c>
      <c r="E75" s="2" t="s">
        <v>81</v>
      </c>
      <c r="F75" s="2" t="s">
        <v>82</v>
      </c>
      <c r="G75" s="2" t="s">
        <v>9</v>
      </c>
      <c r="H75" s="2" t="s">
        <v>90</v>
      </c>
      <c r="I75" s="2" t="s">
        <v>90</v>
      </c>
      <c r="J75" s="2" t="s">
        <v>17</v>
      </c>
      <c r="K75" s="2" t="s">
        <v>22</v>
      </c>
      <c r="L75" s="2">
        <v>9</v>
      </c>
      <c r="M75" s="2">
        <v>34250</v>
      </c>
      <c r="N75" s="2">
        <v>0</v>
      </c>
      <c r="O75" s="2">
        <v>308250</v>
      </c>
      <c r="P75" s="6">
        <v>73408.59</v>
      </c>
    </row>
    <row r="76" spans="1:16" x14ac:dyDescent="0.3">
      <c r="A76" s="5" t="s">
        <v>220</v>
      </c>
      <c r="B76" s="2" t="s">
        <v>221</v>
      </c>
      <c r="C76" s="2" t="str">
        <f t="shared" si="1"/>
        <v>January</v>
      </c>
      <c r="D76" s="2" t="s">
        <v>5</v>
      </c>
      <c r="E76" s="2" t="s">
        <v>52</v>
      </c>
      <c r="F76" s="2" t="s">
        <v>53</v>
      </c>
      <c r="G76" s="2" t="s">
        <v>8</v>
      </c>
      <c r="H76" s="2" t="s">
        <v>64</v>
      </c>
      <c r="I76" s="2" t="s">
        <v>64</v>
      </c>
      <c r="J76" s="2" t="s">
        <v>12</v>
      </c>
      <c r="K76" s="2" t="s">
        <v>22</v>
      </c>
      <c r="L76" s="2">
        <v>7</v>
      </c>
      <c r="M76" s="2">
        <v>26829</v>
      </c>
      <c r="N76" s="2">
        <v>20</v>
      </c>
      <c r="O76" s="2">
        <v>150242.4</v>
      </c>
      <c r="P76" s="6">
        <v>26563.16</v>
      </c>
    </row>
    <row r="77" spans="1:16" x14ac:dyDescent="0.3">
      <c r="A77" s="5" t="s">
        <v>222</v>
      </c>
      <c r="B77" s="2" t="s">
        <v>223</v>
      </c>
      <c r="C77" s="2" t="str">
        <f t="shared" si="1"/>
        <v>December</v>
      </c>
      <c r="D77" s="2" t="s">
        <v>2</v>
      </c>
      <c r="E77" s="2" t="s">
        <v>103</v>
      </c>
      <c r="F77" s="2" t="s">
        <v>104</v>
      </c>
      <c r="G77" s="2" t="s">
        <v>9</v>
      </c>
      <c r="H77" s="2" t="s">
        <v>72</v>
      </c>
      <c r="I77" s="2" t="s">
        <v>72</v>
      </c>
      <c r="J77" s="2" t="s">
        <v>17</v>
      </c>
      <c r="K77" s="2" t="s">
        <v>21</v>
      </c>
      <c r="L77" s="2">
        <v>1</v>
      </c>
      <c r="M77" s="2">
        <v>47892</v>
      </c>
      <c r="N77" s="2">
        <v>5</v>
      </c>
      <c r="O77" s="2">
        <v>45497.4</v>
      </c>
      <c r="P77" s="6">
        <v>7105.32</v>
      </c>
    </row>
    <row r="78" spans="1:16" x14ac:dyDescent="0.3">
      <c r="A78" s="5" t="s">
        <v>224</v>
      </c>
      <c r="B78" s="2" t="s">
        <v>66</v>
      </c>
      <c r="C78" s="2" t="str">
        <f t="shared" si="1"/>
        <v>March</v>
      </c>
      <c r="D78" s="2" t="s">
        <v>5</v>
      </c>
      <c r="E78" s="2" t="s">
        <v>52</v>
      </c>
      <c r="F78" s="2" t="s">
        <v>53</v>
      </c>
      <c r="G78" s="2" t="s">
        <v>8</v>
      </c>
      <c r="H78" s="2" t="s">
        <v>133</v>
      </c>
      <c r="I78" s="2" t="s">
        <v>133</v>
      </c>
      <c r="J78" s="2" t="s">
        <v>13</v>
      </c>
      <c r="K78" s="2" t="s">
        <v>21</v>
      </c>
      <c r="L78" s="2">
        <v>6</v>
      </c>
      <c r="M78" s="2">
        <v>24788</v>
      </c>
      <c r="N78" s="2">
        <v>15</v>
      </c>
      <c r="O78" s="2">
        <v>126418.8</v>
      </c>
      <c r="P78" s="6">
        <v>26620.59</v>
      </c>
    </row>
    <row r="79" spans="1:16" x14ac:dyDescent="0.3">
      <c r="A79" s="5" t="s">
        <v>225</v>
      </c>
      <c r="B79" s="2" t="s">
        <v>226</v>
      </c>
      <c r="C79" s="2" t="str">
        <f t="shared" si="1"/>
        <v>November</v>
      </c>
      <c r="D79" s="2" t="s">
        <v>4</v>
      </c>
      <c r="E79" s="2" t="s">
        <v>62</v>
      </c>
      <c r="F79" s="2" t="s">
        <v>63</v>
      </c>
      <c r="G79" s="2" t="s">
        <v>10</v>
      </c>
      <c r="H79" s="2" t="s">
        <v>69</v>
      </c>
      <c r="I79" s="2" t="s">
        <v>69</v>
      </c>
      <c r="J79" s="2" t="s">
        <v>13</v>
      </c>
      <c r="K79" s="2" t="s">
        <v>21</v>
      </c>
      <c r="L79" s="2">
        <v>3</v>
      </c>
      <c r="M79" s="2">
        <v>30581</v>
      </c>
      <c r="N79" s="2">
        <v>15</v>
      </c>
      <c r="O79" s="2">
        <v>77981.55</v>
      </c>
      <c r="P79" s="6">
        <v>13449.68</v>
      </c>
    </row>
    <row r="80" spans="1:16" x14ac:dyDescent="0.3">
      <c r="A80" s="5" t="s">
        <v>227</v>
      </c>
      <c r="B80" s="2" t="s">
        <v>228</v>
      </c>
      <c r="C80" s="2" t="str">
        <f t="shared" si="1"/>
        <v>May</v>
      </c>
      <c r="D80" s="2" t="s">
        <v>4</v>
      </c>
      <c r="E80" s="2" t="s">
        <v>67</v>
      </c>
      <c r="F80" s="2" t="s">
        <v>68</v>
      </c>
      <c r="G80" s="2" t="s">
        <v>9</v>
      </c>
      <c r="H80" s="2" t="s">
        <v>126</v>
      </c>
      <c r="I80" s="2" t="s">
        <v>126</v>
      </c>
      <c r="J80" s="2" t="s">
        <v>18</v>
      </c>
      <c r="K80" s="2" t="s">
        <v>22</v>
      </c>
      <c r="L80" s="2">
        <v>8</v>
      </c>
      <c r="M80" s="2">
        <v>35101</v>
      </c>
      <c r="N80" s="2">
        <v>0</v>
      </c>
      <c r="O80" s="2">
        <v>280808</v>
      </c>
      <c r="P80" s="6">
        <v>70086.759999999995</v>
      </c>
    </row>
    <row r="81" spans="1:16" x14ac:dyDescent="0.3">
      <c r="A81" s="5" t="s">
        <v>229</v>
      </c>
      <c r="B81" s="2" t="s">
        <v>230</v>
      </c>
      <c r="C81" s="2" t="str">
        <f t="shared" si="1"/>
        <v>October</v>
      </c>
      <c r="D81" s="2" t="s">
        <v>3</v>
      </c>
      <c r="E81" s="2" t="s">
        <v>75</v>
      </c>
      <c r="F81" s="2" t="s">
        <v>75</v>
      </c>
      <c r="G81" s="2" t="s">
        <v>10</v>
      </c>
      <c r="H81" s="2" t="s">
        <v>69</v>
      </c>
      <c r="I81" s="2" t="s">
        <v>69</v>
      </c>
      <c r="J81" s="2" t="s">
        <v>18</v>
      </c>
      <c r="K81" s="2" t="s">
        <v>21</v>
      </c>
      <c r="L81" s="2">
        <v>6</v>
      </c>
      <c r="M81" s="2">
        <v>30367</v>
      </c>
      <c r="N81" s="2">
        <v>10</v>
      </c>
      <c r="O81" s="2">
        <v>163981.79999999999</v>
      </c>
      <c r="P81" s="6">
        <v>13545.08</v>
      </c>
    </row>
    <row r="82" spans="1:16" x14ac:dyDescent="0.3">
      <c r="A82" s="5" t="s">
        <v>231</v>
      </c>
      <c r="B82" s="2" t="s">
        <v>232</v>
      </c>
      <c r="C82" s="2" t="str">
        <f t="shared" si="1"/>
        <v>December</v>
      </c>
      <c r="D82" s="2" t="s">
        <v>5</v>
      </c>
      <c r="E82" s="2" t="s">
        <v>52</v>
      </c>
      <c r="F82" s="2" t="s">
        <v>53</v>
      </c>
      <c r="G82" s="2" t="s">
        <v>9</v>
      </c>
      <c r="H82" s="2" t="s">
        <v>59</v>
      </c>
      <c r="I82" s="2" t="s">
        <v>59</v>
      </c>
      <c r="J82" s="2" t="s">
        <v>14</v>
      </c>
      <c r="K82" s="2" t="s">
        <v>21</v>
      </c>
      <c r="L82" s="2">
        <v>6</v>
      </c>
      <c r="M82" s="2">
        <v>32282</v>
      </c>
      <c r="N82" s="2">
        <v>0</v>
      </c>
      <c r="O82" s="2">
        <v>193692</v>
      </c>
      <c r="P82" s="6">
        <v>26329.21</v>
      </c>
    </row>
    <row r="83" spans="1:16" x14ac:dyDescent="0.3">
      <c r="A83" s="5" t="s">
        <v>233</v>
      </c>
      <c r="B83" s="2" t="s">
        <v>234</v>
      </c>
      <c r="C83" s="2" t="str">
        <f t="shared" si="1"/>
        <v>August</v>
      </c>
      <c r="D83" s="2" t="s">
        <v>2</v>
      </c>
      <c r="E83" s="2" t="s">
        <v>103</v>
      </c>
      <c r="F83" s="2" t="s">
        <v>104</v>
      </c>
      <c r="G83" s="2" t="s">
        <v>10</v>
      </c>
      <c r="H83" s="2" t="s">
        <v>100</v>
      </c>
      <c r="I83" s="2" t="s">
        <v>100</v>
      </c>
      <c r="J83" s="2" t="s">
        <v>15</v>
      </c>
      <c r="K83" s="2" t="s">
        <v>22</v>
      </c>
      <c r="L83" s="2">
        <v>8</v>
      </c>
      <c r="M83" s="2">
        <v>19698</v>
      </c>
      <c r="N83" s="2">
        <v>20</v>
      </c>
      <c r="O83" s="2">
        <v>126067.2</v>
      </c>
      <c r="P83" s="6">
        <v>24914.83</v>
      </c>
    </row>
    <row r="84" spans="1:16" x14ac:dyDescent="0.3">
      <c r="A84" s="5" t="s">
        <v>235</v>
      </c>
      <c r="B84" s="2" t="s">
        <v>236</v>
      </c>
      <c r="C84" s="2" t="str">
        <f t="shared" si="1"/>
        <v>February</v>
      </c>
      <c r="D84" s="2" t="s">
        <v>2</v>
      </c>
      <c r="E84" s="2" t="s">
        <v>103</v>
      </c>
      <c r="F84" s="2" t="s">
        <v>104</v>
      </c>
      <c r="G84" s="2" t="s">
        <v>10</v>
      </c>
      <c r="H84" s="2" t="s">
        <v>69</v>
      </c>
      <c r="I84" s="2" t="s">
        <v>69</v>
      </c>
      <c r="J84" s="2" t="s">
        <v>13</v>
      </c>
      <c r="K84" s="2" t="s">
        <v>21</v>
      </c>
      <c r="L84" s="2">
        <v>2</v>
      </c>
      <c r="M84" s="2">
        <v>48051</v>
      </c>
      <c r="N84" s="2">
        <v>20</v>
      </c>
      <c r="O84" s="2">
        <v>76881.600000000006</v>
      </c>
      <c r="P84" s="6">
        <v>20420.490000000002</v>
      </c>
    </row>
    <row r="85" spans="1:16" x14ac:dyDescent="0.3">
      <c r="A85" s="5" t="s">
        <v>237</v>
      </c>
      <c r="B85" s="2" t="s">
        <v>238</v>
      </c>
      <c r="C85" s="2" t="str">
        <f t="shared" si="1"/>
        <v>December</v>
      </c>
      <c r="D85" s="2" t="s">
        <v>2</v>
      </c>
      <c r="E85" s="2" t="s">
        <v>103</v>
      </c>
      <c r="F85" s="2" t="s">
        <v>104</v>
      </c>
      <c r="G85" s="2" t="s">
        <v>8</v>
      </c>
      <c r="H85" s="2" t="s">
        <v>76</v>
      </c>
      <c r="I85" s="2" t="s">
        <v>76</v>
      </c>
      <c r="J85" s="2" t="s">
        <v>12</v>
      </c>
      <c r="K85" s="2" t="s">
        <v>21</v>
      </c>
      <c r="L85" s="2">
        <v>10</v>
      </c>
      <c r="M85" s="2">
        <v>31350</v>
      </c>
      <c r="N85" s="2">
        <v>0</v>
      </c>
      <c r="O85" s="2">
        <v>313500</v>
      </c>
      <c r="P85" s="6">
        <v>47385.72</v>
      </c>
    </row>
    <row r="86" spans="1:16" x14ac:dyDescent="0.3">
      <c r="A86" s="5" t="s">
        <v>239</v>
      </c>
      <c r="B86" s="2" t="s">
        <v>144</v>
      </c>
      <c r="C86" s="2" t="str">
        <f t="shared" si="1"/>
        <v>January</v>
      </c>
      <c r="D86" s="2" t="s">
        <v>5</v>
      </c>
      <c r="E86" s="2" t="s">
        <v>57</v>
      </c>
      <c r="F86" s="2" t="s">
        <v>58</v>
      </c>
      <c r="G86" s="2" t="s">
        <v>9</v>
      </c>
      <c r="H86" s="2" t="s">
        <v>90</v>
      </c>
      <c r="I86" s="2" t="s">
        <v>90</v>
      </c>
      <c r="J86" s="2" t="s">
        <v>13</v>
      </c>
      <c r="K86" s="2" t="s">
        <v>22</v>
      </c>
      <c r="L86" s="2">
        <v>2</v>
      </c>
      <c r="M86" s="2">
        <v>44374</v>
      </c>
      <c r="N86" s="2">
        <v>10</v>
      </c>
      <c r="O86" s="2">
        <v>79873.2</v>
      </c>
      <c r="P86" s="6">
        <v>18599.72</v>
      </c>
    </row>
    <row r="87" spans="1:16" x14ac:dyDescent="0.3">
      <c r="A87" s="5" t="s">
        <v>240</v>
      </c>
      <c r="B87" s="2" t="s">
        <v>241</v>
      </c>
      <c r="C87" s="2" t="str">
        <f t="shared" si="1"/>
        <v>January</v>
      </c>
      <c r="D87" s="2" t="s">
        <v>4</v>
      </c>
      <c r="E87" s="2" t="s">
        <v>62</v>
      </c>
      <c r="F87" s="2" t="s">
        <v>63</v>
      </c>
      <c r="G87" s="2" t="s">
        <v>9</v>
      </c>
      <c r="H87" s="2" t="s">
        <v>72</v>
      </c>
      <c r="I87" s="2" t="s">
        <v>72</v>
      </c>
      <c r="J87" s="2" t="s">
        <v>19</v>
      </c>
      <c r="K87" s="2" t="s">
        <v>21</v>
      </c>
      <c r="L87" s="2">
        <v>1</v>
      </c>
      <c r="M87" s="2">
        <v>32996</v>
      </c>
      <c r="N87" s="2">
        <v>20</v>
      </c>
      <c r="O87" s="2">
        <v>26396.799999999999</v>
      </c>
      <c r="P87" s="6">
        <v>3764.09</v>
      </c>
    </row>
    <row r="88" spans="1:16" x14ac:dyDescent="0.3">
      <c r="A88" s="5" t="s">
        <v>242</v>
      </c>
      <c r="B88" s="2" t="s">
        <v>243</v>
      </c>
      <c r="C88" s="2" t="str">
        <f t="shared" si="1"/>
        <v>November</v>
      </c>
      <c r="D88" s="2" t="s">
        <v>5</v>
      </c>
      <c r="E88" s="2" t="s">
        <v>57</v>
      </c>
      <c r="F88" s="2" t="s">
        <v>58</v>
      </c>
      <c r="G88" s="2" t="s">
        <v>10</v>
      </c>
      <c r="H88" s="2" t="s">
        <v>100</v>
      </c>
      <c r="I88" s="2" t="s">
        <v>100</v>
      </c>
      <c r="J88" s="2" t="s">
        <v>16</v>
      </c>
      <c r="K88" s="2" t="s">
        <v>21</v>
      </c>
      <c r="L88" s="2">
        <v>1</v>
      </c>
      <c r="M88" s="2">
        <v>5227</v>
      </c>
      <c r="N88" s="2">
        <v>5</v>
      </c>
      <c r="O88" s="2">
        <v>4965.6499999999996</v>
      </c>
      <c r="P88" s="6">
        <v>290.42</v>
      </c>
    </row>
    <row r="89" spans="1:16" x14ac:dyDescent="0.3">
      <c r="A89" s="5" t="s">
        <v>244</v>
      </c>
      <c r="B89" s="2" t="s">
        <v>245</v>
      </c>
      <c r="C89" s="2" t="str">
        <f t="shared" si="1"/>
        <v>July</v>
      </c>
      <c r="D89" s="2" t="s">
        <v>3</v>
      </c>
      <c r="E89" s="2" t="s">
        <v>117</v>
      </c>
      <c r="F89" s="2" t="s">
        <v>117</v>
      </c>
      <c r="G89" s="2" t="s">
        <v>9</v>
      </c>
      <c r="H89" s="2" t="s">
        <v>72</v>
      </c>
      <c r="I89" s="2" t="s">
        <v>72</v>
      </c>
      <c r="J89" s="2" t="s">
        <v>19</v>
      </c>
      <c r="K89" s="2" t="s">
        <v>21</v>
      </c>
      <c r="L89" s="2">
        <v>3</v>
      </c>
      <c r="M89" s="2">
        <v>13096</v>
      </c>
      <c r="N89" s="2">
        <v>5</v>
      </c>
      <c r="O89" s="2">
        <v>37323.599999999999</v>
      </c>
      <c r="P89" s="6">
        <v>4294.18</v>
      </c>
    </row>
    <row r="90" spans="1:16" x14ac:dyDescent="0.3">
      <c r="A90" s="5" t="s">
        <v>246</v>
      </c>
      <c r="B90" s="2" t="s">
        <v>247</v>
      </c>
      <c r="C90" s="2" t="str">
        <f t="shared" si="1"/>
        <v>May</v>
      </c>
      <c r="D90" s="2" t="s">
        <v>5</v>
      </c>
      <c r="E90" s="2" t="s">
        <v>57</v>
      </c>
      <c r="F90" s="2" t="s">
        <v>58</v>
      </c>
      <c r="G90" s="2" t="s">
        <v>10</v>
      </c>
      <c r="H90" s="2" t="s">
        <v>100</v>
      </c>
      <c r="I90" s="2" t="s">
        <v>100</v>
      </c>
      <c r="J90" s="2" t="s">
        <v>14</v>
      </c>
      <c r="K90" s="2" t="s">
        <v>22</v>
      </c>
      <c r="L90" s="2">
        <v>7</v>
      </c>
      <c r="M90" s="2">
        <v>10723</v>
      </c>
      <c r="N90" s="2">
        <v>10</v>
      </c>
      <c r="O90" s="2">
        <v>67554.899999999994</v>
      </c>
      <c r="P90" s="6">
        <v>18665.09</v>
      </c>
    </row>
    <row r="91" spans="1:16" x14ac:dyDescent="0.3">
      <c r="A91" s="5" t="s">
        <v>248</v>
      </c>
      <c r="B91" s="2" t="s">
        <v>249</v>
      </c>
      <c r="C91" s="2" t="str">
        <f t="shared" si="1"/>
        <v>March</v>
      </c>
      <c r="D91" s="2" t="s">
        <v>5</v>
      </c>
      <c r="E91" s="2" t="s">
        <v>57</v>
      </c>
      <c r="F91" s="2" t="s">
        <v>58</v>
      </c>
      <c r="G91" s="2" t="s">
        <v>9</v>
      </c>
      <c r="H91" s="2" t="s">
        <v>59</v>
      </c>
      <c r="I91" s="2" t="s">
        <v>59</v>
      </c>
      <c r="J91" s="2" t="s">
        <v>18</v>
      </c>
      <c r="K91" s="2" t="s">
        <v>22</v>
      </c>
      <c r="L91" s="2">
        <v>3</v>
      </c>
      <c r="M91" s="2">
        <v>45433</v>
      </c>
      <c r="N91" s="2">
        <v>20</v>
      </c>
      <c r="O91" s="2">
        <v>109039.2</v>
      </c>
      <c r="P91" s="6">
        <v>24007.61</v>
      </c>
    </row>
    <row r="92" spans="1:16" x14ac:dyDescent="0.3">
      <c r="A92" s="5" t="s">
        <v>250</v>
      </c>
      <c r="B92" s="2" t="s">
        <v>251</v>
      </c>
      <c r="C92" s="2" t="str">
        <f t="shared" si="1"/>
        <v>February</v>
      </c>
      <c r="D92" s="2" t="s">
        <v>2</v>
      </c>
      <c r="E92" s="2" t="s">
        <v>81</v>
      </c>
      <c r="F92" s="2" t="s">
        <v>82</v>
      </c>
      <c r="G92" s="2" t="s">
        <v>9</v>
      </c>
      <c r="H92" s="2" t="s">
        <v>90</v>
      </c>
      <c r="I92" s="2" t="s">
        <v>90</v>
      </c>
      <c r="J92" s="2" t="s">
        <v>19</v>
      </c>
      <c r="K92" s="2" t="s">
        <v>21</v>
      </c>
      <c r="L92" s="2">
        <v>4</v>
      </c>
      <c r="M92" s="2">
        <v>45170</v>
      </c>
      <c r="N92" s="2">
        <v>15</v>
      </c>
      <c r="O92" s="2">
        <v>153578</v>
      </c>
      <c r="P92" s="6">
        <v>25782.18</v>
      </c>
    </row>
    <row r="93" spans="1:16" x14ac:dyDescent="0.3">
      <c r="A93" s="5" t="s">
        <v>252</v>
      </c>
      <c r="B93" s="2" t="s">
        <v>253</v>
      </c>
      <c r="C93" s="2" t="str">
        <f t="shared" si="1"/>
        <v>October</v>
      </c>
      <c r="D93" s="2" t="s">
        <v>5</v>
      </c>
      <c r="E93" s="2" t="s">
        <v>52</v>
      </c>
      <c r="F93" s="2" t="s">
        <v>53</v>
      </c>
      <c r="G93" s="2" t="s">
        <v>8</v>
      </c>
      <c r="H93" s="2" t="s">
        <v>93</v>
      </c>
      <c r="I93" s="2" t="s">
        <v>93</v>
      </c>
      <c r="J93" s="2" t="s">
        <v>19</v>
      </c>
      <c r="K93" s="2" t="s">
        <v>22</v>
      </c>
      <c r="L93" s="2">
        <v>4</v>
      </c>
      <c r="M93" s="2">
        <v>40476</v>
      </c>
      <c r="N93" s="2">
        <v>0</v>
      </c>
      <c r="O93" s="2">
        <v>161904</v>
      </c>
      <c r="P93" s="6">
        <v>48337.3</v>
      </c>
    </row>
    <row r="94" spans="1:16" x14ac:dyDescent="0.3">
      <c r="A94" s="5" t="s">
        <v>254</v>
      </c>
      <c r="B94" s="2" t="s">
        <v>255</v>
      </c>
      <c r="C94" s="2" t="str">
        <f t="shared" si="1"/>
        <v>May</v>
      </c>
      <c r="D94" s="2" t="s">
        <v>4</v>
      </c>
      <c r="E94" s="2" t="s">
        <v>62</v>
      </c>
      <c r="F94" s="2" t="s">
        <v>63</v>
      </c>
      <c r="G94" s="2" t="s">
        <v>9</v>
      </c>
      <c r="H94" s="2" t="s">
        <v>90</v>
      </c>
      <c r="I94" s="2" t="s">
        <v>90</v>
      </c>
      <c r="J94" s="2" t="s">
        <v>16</v>
      </c>
      <c r="K94" s="2" t="s">
        <v>22</v>
      </c>
      <c r="L94" s="2">
        <v>4</v>
      </c>
      <c r="M94" s="2">
        <v>36979</v>
      </c>
      <c r="N94" s="2">
        <v>0</v>
      </c>
      <c r="O94" s="2">
        <v>147916</v>
      </c>
      <c r="P94" s="6">
        <v>24854.07</v>
      </c>
    </row>
    <row r="95" spans="1:16" x14ac:dyDescent="0.3">
      <c r="A95" s="5" t="s">
        <v>256</v>
      </c>
      <c r="B95" s="2" t="s">
        <v>146</v>
      </c>
      <c r="C95" s="2" t="str">
        <f t="shared" si="1"/>
        <v>May</v>
      </c>
      <c r="D95" s="2" t="s">
        <v>3</v>
      </c>
      <c r="E95" s="2" t="s">
        <v>117</v>
      </c>
      <c r="F95" s="2" t="s">
        <v>117</v>
      </c>
      <c r="G95" s="2" t="s">
        <v>9</v>
      </c>
      <c r="H95" s="2" t="s">
        <v>90</v>
      </c>
      <c r="I95" s="2" t="s">
        <v>90</v>
      </c>
      <c r="J95" s="2" t="s">
        <v>14</v>
      </c>
      <c r="K95" s="2" t="s">
        <v>22</v>
      </c>
      <c r="L95" s="2">
        <v>9</v>
      </c>
      <c r="M95" s="2">
        <v>46723</v>
      </c>
      <c r="N95" s="2">
        <v>0</v>
      </c>
      <c r="O95" s="2">
        <v>420507</v>
      </c>
      <c r="P95" s="6">
        <v>98182.49</v>
      </c>
    </row>
    <row r="96" spans="1:16" x14ac:dyDescent="0.3">
      <c r="A96" s="5" t="s">
        <v>257</v>
      </c>
      <c r="B96" s="2" t="s">
        <v>258</v>
      </c>
      <c r="C96" s="2" t="str">
        <f t="shared" si="1"/>
        <v>October</v>
      </c>
      <c r="D96" s="2" t="s">
        <v>5</v>
      </c>
      <c r="E96" s="2" t="s">
        <v>57</v>
      </c>
      <c r="F96" s="2" t="s">
        <v>58</v>
      </c>
      <c r="G96" s="2" t="s">
        <v>9</v>
      </c>
      <c r="H96" s="2" t="s">
        <v>126</v>
      </c>
      <c r="I96" s="2" t="s">
        <v>126</v>
      </c>
      <c r="J96" s="2" t="s">
        <v>16</v>
      </c>
      <c r="K96" s="2" t="s">
        <v>22</v>
      </c>
      <c r="L96" s="2">
        <v>10</v>
      </c>
      <c r="M96" s="2">
        <v>3595</v>
      </c>
      <c r="N96" s="2">
        <v>5</v>
      </c>
      <c r="O96" s="2">
        <v>34152.5</v>
      </c>
      <c r="P96" s="6">
        <v>4720.6899999999996</v>
      </c>
    </row>
    <row r="97" spans="1:16" x14ac:dyDescent="0.3">
      <c r="A97" s="5" t="s">
        <v>259</v>
      </c>
      <c r="B97" s="2" t="s">
        <v>260</v>
      </c>
      <c r="C97" s="2" t="str">
        <f t="shared" si="1"/>
        <v>May</v>
      </c>
      <c r="D97" s="2" t="s">
        <v>2</v>
      </c>
      <c r="E97" s="2" t="s">
        <v>103</v>
      </c>
      <c r="F97" s="2" t="s">
        <v>104</v>
      </c>
      <c r="G97" s="2" t="s">
        <v>8</v>
      </c>
      <c r="H97" s="2" t="s">
        <v>133</v>
      </c>
      <c r="I97" s="2" t="s">
        <v>133</v>
      </c>
      <c r="J97" s="2" t="s">
        <v>16</v>
      </c>
      <c r="K97" s="2" t="s">
        <v>21</v>
      </c>
      <c r="L97" s="2">
        <v>6</v>
      </c>
      <c r="M97" s="2">
        <v>36560</v>
      </c>
      <c r="N97" s="2">
        <v>10</v>
      </c>
      <c r="O97" s="2">
        <v>197424</v>
      </c>
      <c r="P97" s="6">
        <v>53853.11</v>
      </c>
    </row>
    <row r="98" spans="1:16" x14ac:dyDescent="0.3">
      <c r="A98" s="5" t="s">
        <v>261</v>
      </c>
      <c r="B98" s="2" t="s">
        <v>262</v>
      </c>
      <c r="C98" s="2" t="str">
        <f t="shared" si="1"/>
        <v>March</v>
      </c>
      <c r="D98" s="2" t="s">
        <v>3</v>
      </c>
      <c r="E98" s="2" t="s">
        <v>75</v>
      </c>
      <c r="F98" s="2" t="s">
        <v>75</v>
      </c>
      <c r="G98" s="2" t="s">
        <v>9</v>
      </c>
      <c r="H98" s="2" t="s">
        <v>126</v>
      </c>
      <c r="I98" s="2" t="s">
        <v>126</v>
      </c>
      <c r="J98" s="2" t="s">
        <v>19</v>
      </c>
      <c r="K98" s="2" t="s">
        <v>22</v>
      </c>
      <c r="L98" s="2">
        <v>6</v>
      </c>
      <c r="M98" s="2">
        <v>45384</v>
      </c>
      <c r="N98" s="2">
        <v>10</v>
      </c>
      <c r="O98" s="2">
        <v>245073.6</v>
      </c>
      <c r="P98" s="6">
        <v>51256.31</v>
      </c>
    </row>
    <row r="99" spans="1:16" x14ac:dyDescent="0.3">
      <c r="A99" s="5" t="s">
        <v>263</v>
      </c>
      <c r="B99" s="2" t="s">
        <v>264</v>
      </c>
      <c r="C99" s="2" t="str">
        <f t="shared" si="1"/>
        <v>June</v>
      </c>
      <c r="D99" s="2" t="s">
        <v>3</v>
      </c>
      <c r="E99" s="2" t="s">
        <v>117</v>
      </c>
      <c r="F99" s="2" t="s">
        <v>117</v>
      </c>
      <c r="G99" s="2" t="s">
        <v>10</v>
      </c>
      <c r="H99" s="2" t="s">
        <v>69</v>
      </c>
      <c r="I99" s="2" t="s">
        <v>69</v>
      </c>
      <c r="J99" s="2" t="s">
        <v>13</v>
      </c>
      <c r="K99" s="2" t="s">
        <v>22</v>
      </c>
      <c r="L99" s="2">
        <v>8</v>
      </c>
      <c r="M99" s="2">
        <v>30685</v>
      </c>
      <c r="N99" s="2">
        <v>5</v>
      </c>
      <c r="O99" s="2">
        <v>233206</v>
      </c>
      <c r="P99" s="6">
        <v>60223.14</v>
      </c>
    </row>
    <row r="100" spans="1:16" x14ac:dyDescent="0.3">
      <c r="A100" s="5" t="s">
        <v>265</v>
      </c>
      <c r="B100" s="2" t="s">
        <v>266</v>
      </c>
      <c r="C100" s="2" t="str">
        <f t="shared" si="1"/>
        <v>October</v>
      </c>
      <c r="D100" s="2" t="s">
        <v>2</v>
      </c>
      <c r="E100" s="2" t="s">
        <v>81</v>
      </c>
      <c r="F100" s="2" t="s">
        <v>82</v>
      </c>
      <c r="G100" s="2" t="s">
        <v>10</v>
      </c>
      <c r="H100" s="2" t="s">
        <v>69</v>
      </c>
      <c r="I100" s="2" t="s">
        <v>69</v>
      </c>
      <c r="J100" s="2" t="s">
        <v>16</v>
      </c>
      <c r="K100" s="2" t="s">
        <v>21</v>
      </c>
      <c r="L100" s="2">
        <v>4</v>
      </c>
      <c r="M100" s="2">
        <v>19211</v>
      </c>
      <c r="N100" s="2">
        <v>20</v>
      </c>
      <c r="O100" s="2">
        <v>61475.199999999997</v>
      </c>
      <c r="P100" s="6">
        <v>8237.42</v>
      </c>
    </row>
    <row r="101" spans="1:16" x14ac:dyDescent="0.3">
      <c r="A101" s="5" t="s">
        <v>267</v>
      </c>
      <c r="B101" s="2" t="s">
        <v>268</v>
      </c>
      <c r="C101" s="2" t="str">
        <f t="shared" si="1"/>
        <v>November</v>
      </c>
      <c r="D101" s="2" t="s">
        <v>3</v>
      </c>
      <c r="E101" s="2" t="s">
        <v>75</v>
      </c>
      <c r="F101" s="2" t="s">
        <v>75</v>
      </c>
      <c r="G101" s="2" t="s">
        <v>9</v>
      </c>
      <c r="H101" s="2" t="s">
        <v>126</v>
      </c>
      <c r="I101" s="2" t="s">
        <v>126</v>
      </c>
      <c r="J101" s="2" t="s">
        <v>17</v>
      </c>
      <c r="K101" s="2" t="s">
        <v>22</v>
      </c>
      <c r="L101" s="2">
        <v>2</v>
      </c>
      <c r="M101" s="2">
        <v>24325</v>
      </c>
      <c r="N101" s="2">
        <v>5</v>
      </c>
      <c r="O101" s="2">
        <v>46217.5</v>
      </c>
      <c r="P101" s="6">
        <v>4133.95</v>
      </c>
    </row>
    <row r="102" spans="1:16" x14ac:dyDescent="0.3">
      <c r="A102" s="5" t="s">
        <v>269</v>
      </c>
      <c r="B102" s="2" t="s">
        <v>270</v>
      </c>
      <c r="C102" s="2" t="str">
        <f t="shared" si="1"/>
        <v>April</v>
      </c>
      <c r="D102" s="2" t="s">
        <v>4</v>
      </c>
      <c r="E102" s="2" t="s">
        <v>62</v>
      </c>
      <c r="F102" s="2" t="s">
        <v>63</v>
      </c>
      <c r="G102" s="2" t="s">
        <v>8</v>
      </c>
      <c r="H102" s="2" t="s">
        <v>76</v>
      </c>
      <c r="I102" s="2" t="s">
        <v>76</v>
      </c>
      <c r="J102" s="2" t="s">
        <v>14</v>
      </c>
      <c r="K102" s="2" t="s">
        <v>21</v>
      </c>
      <c r="L102" s="2">
        <v>2</v>
      </c>
      <c r="M102" s="2">
        <v>36245</v>
      </c>
      <c r="N102" s="2">
        <v>15</v>
      </c>
      <c r="O102" s="2">
        <v>61616.5</v>
      </c>
      <c r="P102" s="6">
        <v>4467.18</v>
      </c>
    </row>
    <row r="103" spans="1:16" x14ac:dyDescent="0.3">
      <c r="A103" s="5" t="s">
        <v>271</v>
      </c>
      <c r="B103" s="2" t="s">
        <v>272</v>
      </c>
      <c r="C103" s="2" t="str">
        <f t="shared" si="1"/>
        <v>May</v>
      </c>
      <c r="D103" s="2" t="s">
        <v>3</v>
      </c>
      <c r="E103" s="2" t="s">
        <v>75</v>
      </c>
      <c r="F103" s="2" t="s">
        <v>75</v>
      </c>
      <c r="G103" s="2" t="s">
        <v>9</v>
      </c>
      <c r="H103" s="2" t="s">
        <v>72</v>
      </c>
      <c r="I103" s="2" t="s">
        <v>72</v>
      </c>
      <c r="J103" s="2" t="s">
        <v>13</v>
      </c>
      <c r="K103" s="2" t="s">
        <v>22</v>
      </c>
      <c r="L103" s="2">
        <v>1</v>
      </c>
      <c r="M103" s="2">
        <v>21089</v>
      </c>
      <c r="N103" s="2">
        <v>5</v>
      </c>
      <c r="O103" s="2">
        <v>20034.55</v>
      </c>
      <c r="P103" s="6">
        <v>2599.04</v>
      </c>
    </row>
    <row r="104" spans="1:16" x14ac:dyDescent="0.3">
      <c r="A104" s="5" t="s">
        <v>273</v>
      </c>
      <c r="B104" s="2" t="s">
        <v>125</v>
      </c>
      <c r="C104" s="2" t="str">
        <f t="shared" si="1"/>
        <v>December</v>
      </c>
      <c r="D104" s="2" t="s">
        <v>2</v>
      </c>
      <c r="E104" s="2" t="s">
        <v>103</v>
      </c>
      <c r="F104" s="2" t="s">
        <v>104</v>
      </c>
      <c r="G104" s="2" t="s">
        <v>9</v>
      </c>
      <c r="H104" s="2" t="s">
        <v>126</v>
      </c>
      <c r="I104" s="2" t="s">
        <v>126</v>
      </c>
      <c r="J104" s="2" t="s">
        <v>13</v>
      </c>
      <c r="K104" s="2" t="s">
        <v>22</v>
      </c>
      <c r="L104" s="2">
        <v>1</v>
      </c>
      <c r="M104" s="2">
        <v>26318</v>
      </c>
      <c r="N104" s="2">
        <v>10</v>
      </c>
      <c r="O104" s="2">
        <v>23686.2</v>
      </c>
      <c r="P104" s="6">
        <v>4103.46</v>
      </c>
    </row>
    <row r="105" spans="1:16" x14ac:dyDescent="0.3">
      <c r="A105" s="5" t="s">
        <v>274</v>
      </c>
      <c r="B105" s="2" t="s">
        <v>275</v>
      </c>
      <c r="C105" s="2" t="str">
        <f t="shared" si="1"/>
        <v>May</v>
      </c>
      <c r="D105" s="2" t="s">
        <v>2</v>
      </c>
      <c r="E105" s="2" t="s">
        <v>81</v>
      </c>
      <c r="F105" s="2" t="s">
        <v>82</v>
      </c>
      <c r="G105" s="2" t="s">
        <v>10</v>
      </c>
      <c r="H105" s="2" t="s">
        <v>54</v>
      </c>
      <c r="I105" s="2" t="s">
        <v>54</v>
      </c>
      <c r="J105" s="2" t="s">
        <v>16</v>
      </c>
      <c r="K105" s="2" t="s">
        <v>22</v>
      </c>
      <c r="L105" s="2">
        <v>4</v>
      </c>
      <c r="M105" s="2">
        <v>30443</v>
      </c>
      <c r="N105" s="2">
        <v>0</v>
      </c>
      <c r="O105" s="2">
        <v>121772</v>
      </c>
      <c r="P105" s="6">
        <v>26375.73</v>
      </c>
    </row>
    <row r="106" spans="1:16" x14ac:dyDescent="0.3">
      <c r="A106" s="5" t="s">
        <v>276</v>
      </c>
      <c r="B106" s="2" t="s">
        <v>277</v>
      </c>
      <c r="C106" s="2" t="str">
        <f t="shared" si="1"/>
        <v>April</v>
      </c>
      <c r="D106" s="2" t="s">
        <v>3</v>
      </c>
      <c r="E106" s="2" t="s">
        <v>75</v>
      </c>
      <c r="F106" s="2" t="s">
        <v>75</v>
      </c>
      <c r="G106" s="2" t="s">
        <v>8</v>
      </c>
      <c r="H106" s="2" t="s">
        <v>76</v>
      </c>
      <c r="I106" s="2" t="s">
        <v>76</v>
      </c>
      <c r="J106" s="2" t="s">
        <v>18</v>
      </c>
      <c r="K106" s="2" t="s">
        <v>21</v>
      </c>
      <c r="L106" s="2">
        <v>9</v>
      </c>
      <c r="M106" s="2">
        <v>33481</v>
      </c>
      <c r="N106" s="2">
        <v>0</v>
      </c>
      <c r="O106" s="2">
        <v>301329</v>
      </c>
      <c r="P106" s="6">
        <v>24869.52</v>
      </c>
    </row>
    <row r="107" spans="1:16" x14ac:dyDescent="0.3">
      <c r="A107" s="5" t="s">
        <v>278</v>
      </c>
      <c r="B107" s="2" t="s">
        <v>279</v>
      </c>
      <c r="C107" s="2" t="str">
        <f t="shared" si="1"/>
        <v>February</v>
      </c>
      <c r="D107" s="2" t="s">
        <v>4</v>
      </c>
      <c r="E107" s="2" t="s">
        <v>67</v>
      </c>
      <c r="F107" s="2" t="s">
        <v>68</v>
      </c>
      <c r="G107" s="2" t="s">
        <v>10</v>
      </c>
      <c r="H107" s="2" t="s">
        <v>83</v>
      </c>
      <c r="I107" s="2" t="s">
        <v>83</v>
      </c>
      <c r="J107" s="2" t="s">
        <v>14</v>
      </c>
      <c r="K107" s="2" t="s">
        <v>21</v>
      </c>
      <c r="L107" s="2">
        <v>3</v>
      </c>
      <c r="M107" s="2">
        <v>40547</v>
      </c>
      <c r="N107" s="2">
        <v>0</v>
      </c>
      <c r="O107" s="2">
        <v>121641</v>
      </c>
      <c r="P107" s="6">
        <v>36401.06</v>
      </c>
    </row>
    <row r="108" spans="1:16" x14ac:dyDescent="0.3">
      <c r="A108" s="5" t="s">
        <v>280</v>
      </c>
      <c r="B108" s="2" t="s">
        <v>281</v>
      </c>
      <c r="C108" s="2" t="str">
        <f t="shared" si="1"/>
        <v>March</v>
      </c>
      <c r="D108" s="2" t="s">
        <v>2</v>
      </c>
      <c r="E108" s="2" t="s">
        <v>103</v>
      </c>
      <c r="F108" s="2" t="s">
        <v>104</v>
      </c>
      <c r="G108" s="2" t="s">
        <v>9</v>
      </c>
      <c r="H108" s="2" t="s">
        <v>72</v>
      </c>
      <c r="I108" s="2" t="s">
        <v>72</v>
      </c>
      <c r="J108" s="2" t="s">
        <v>14</v>
      </c>
      <c r="K108" s="2" t="s">
        <v>22</v>
      </c>
      <c r="L108" s="2">
        <v>4</v>
      </c>
      <c r="M108" s="2">
        <v>21488</v>
      </c>
      <c r="N108" s="2">
        <v>10</v>
      </c>
      <c r="O108" s="2">
        <v>77356.800000000003</v>
      </c>
      <c r="P108" s="6">
        <v>21390.5</v>
      </c>
    </row>
    <row r="109" spans="1:16" x14ac:dyDescent="0.3">
      <c r="A109" s="5" t="s">
        <v>282</v>
      </c>
      <c r="B109" s="2" t="s">
        <v>283</v>
      </c>
      <c r="C109" s="2" t="str">
        <f t="shared" si="1"/>
        <v>April</v>
      </c>
      <c r="D109" s="2" t="s">
        <v>3</v>
      </c>
      <c r="E109" s="2" t="s">
        <v>75</v>
      </c>
      <c r="F109" s="2" t="s">
        <v>75</v>
      </c>
      <c r="G109" s="2" t="s">
        <v>8</v>
      </c>
      <c r="H109" s="2" t="s">
        <v>133</v>
      </c>
      <c r="I109" s="2" t="s">
        <v>133</v>
      </c>
      <c r="J109" s="2" t="s">
        <v>17</v>
      </c>
      <c r="K109" s="2" t="s">
        <v>22</v>
      </c>
      <c r="L109" s="2">
        <v>8</v>
      </c>
      <c r="M109" s="2">
        <v>24731</v>
      </c>
      <c r="N109" s="2">
        <v>15</v>
      </c>
      <c r="O109" s="2">
        <v>168170.8</v>
      </c>
      <c r="P109" s="6">
        <v>43832.95</v>
      </c>
    </row>
    <row r="110" spans="1:16" x14ac:dyDescent="0.3">
      <c r="A110" s="5" t="s">
        <v>284</v>
      </c>
      <c r="B110" s="2" t="s">
        <v>285</v>
      </c>
      <c r="C110" s="2" t="str">
        <f t="shared" si="1"/>
        <v>January</v>
      </c>
      <c r="D110" s="2" t="s">
        <v>4</v>
      </c>
      <c r="E110" s="2" t="s">
        <v>67</v>
      </c>
      <c r="F110" s="2" t="s">
        <v>68</v>
      </c>
      <c r="G110" s="2" t="s">
        <v>10</v>
      </c>
      <c r="H110" s="2" t="s">
        <v>100</v>
      </c>
      <c r="I110" s="2" t="s">
        <v>100</v>
      </c>
      <c r="J110" s="2" t="s">
        <v>15</v>
      </c>
      <c r="K110" s="2" t="s">
        <v>21</v>
      </c>
      <c r="L110" s="2">
        <v>8</v>
      </c>
      <c r="M110" s="2">
        <v>7993</v>
      </c>
      <c r="N110" s="2">
        <v>5</v>
      </c>
      <c r="O110" s="2">
        <v>60746.8</v>
      </c>
      <c r="P110" s="6">
        <v>7513.74</v>
      </c>
    </row>
    <row r="111" spans="1:16" x14ac:dyDescent="0.3">
      <c r="A111" s="5" t="s">
        <v>286</v>
      </c>
      <c r="B111" s="2" t="s">
        <v>287</v>
      </c>
      <c r="C111" s="2" t="str">
        <f t="shared" si="1"/>
        <v>November</v>
      </c>
      <c r="D111" s="2" t="s">
        <v>3</v>
      </c>
      <c r="E111" s="2" t="s">
        <v>117</v>
      </c>
      <c r="F111" s="2" t="s">
        <v>117</v>
      </c>
      <c r="G111" s="2" t="s">
        <v>10</v>
      </c>
      <c r="H111" s="2" t="s">
        <v>69</v>
      </c>
      <c r="I111" s="2" t="s">
        <v>69</v>
      </c>
      <c r="J111" s="2" t="s">
        <v>19</v>
      </c>
      <c r="K111" s="2" t="s">
        <v>22</v>
      </c>
      <c r="L111" s="2">
        <v>8</v>
      </c>
      <c r="M111" s="2">
        <v>25911</v>
      </c>
      <c r="N111" s="2">
        <v>0</v>
      </c>
      <c r="O111" s="2">
        <v>207288</v>
      </c>
      <c r="P111" s="6">
        <v>49522.14</v>
      </c>
    </row>
    <row r="112" spans="1:16" x14ac:dyDescent="0.3">
      <c r="A112" s="5" t="s">
        <v>288</v>
      </c>
      <c r="B112" s="2" t="s">
        <v>289</v>
      </c>
      <c r="C112" s="2" t="str">
        <f t="shared" si="1"/>
        <v>July</v>
      </c>
      <c r="D112" s="2" t="s">
        <v>3</v>
      </c>
      <c r="E112" s="2" t="s">
        <v>117</v>
      </c>
      <c r="F112" s="2" t="s">
        <v>117</v>
      </c>
      <c r="G112" s="2" t="s">
        <v>10</v>
      </c>
      <c r="H112" s="2" t="s">
        <v>100</v>
      </c>
      <c r="I112" s="2" t="s">
        <v>100</v>
      </c>
      <c r="J112" s="2" t="s">
        <v>16</v>
      </c>
      <c r="K112" s="2" t="s">
        <v>22</v>
      </c>
      <c r="L112" s="2">
        <v>10</v>
      </c>
      <c r="M112" s="2">
        <v>18368</v>
      </c>
      <c r="N112" s="2">
        <v>15</v>
      </c>
      <c r="O112" s="2">
        <v>156128</v>
      </c>
      <c r="P112" s="6">
        <v>46388.33</v>
      </c>
    </row>
    <row r="113" spans="1:16" x14ac:dyDescent="0.3">
      <c r="A113" s="5" t="s">
        <v>290</v>
      </c>
      <c r="B113" s="2" t="s">
        <v>291</v>
      </c>
      <c r="C113" s="2" t="str">
        <f t="shared" si="1"/>
        <v>July</v>
      </c>
      <c r="D113" s="2" t="s">
        <v>4</v>
      </c>
      <c r="E113" s="2" t="s">
        <v>67</v>
      </c>
      <c r="F113" s="2" t="s">
        <v>68</v>
      </c>
      <c r="G113" s="2" t="s">
        <v>9</v>
      </c>
      <c r="H113" s="2" t="s">
        <v>59</v>
      </c>
      <c r="I113" s="2" t="s">
        <v>59</v>
      </c>
      <c r="J113" s="2" t="s">
        <v>18</v>
      </c>
      <c r="K113" s="2" t="s">
        <v>21</v>
      </c>
      <c r="L113" s="2">
        <v>3</v>
      </c>
      <c r="M113" s="2">
        <v>1764</v>
      </c>
      <c r="N113" s="2">
        <v>15</v>
      </c>
      <c r="O113" s="2">
        <v>4498.2</v>
      </c>
      <c r="P113" s="6">
        <v>881.22</v>
      </c>
    </row>
    <row r="114" spans="1:16" x14ac:dyDescent="0.3">
      <c r="A114" s="5" t="s">
        <v>292</v>
      </c>
      <c r="B114" s="2" t="s">
        <v>293</v>
      </c>
      <c r="C114" s="2" t="str">
        <f t="shared" si="1"/>
        <v>August</v>
      </c>
      <c r="D114" s="2" t="s">
        <v>4</v>
      </c>
      <c r="E114" s="2" t="s">
        <v>67</v>
      </c>
      <c r="F114" s="2" t="s">
        <v>68</v>
      </c>
      <c r="G114" s="2" t="s">
        <v>10</v>
      </c>
      <c r="H114" s="2" t="s">
        <v>100</v>
      </c>
      <c r="I114" s="2" t="s">
        <v>100</v>
      </c>
      <c r="J114" s="2" t="s">
        <v>13</v>
      </c>
      <c r="K114" s="2" t="s">
        <v>21</v>
      </c>
      <c r="L114" s="2">
        <v>9</v>
      </c>
      <c r="M114" s="2">
        <v>45124</v>
      </c>
      <c r="N114" s="2">
        <v>20</v>
      </c>
      <c r="O114" s="2">
        <v>324892.79999999999</v>
      </c>
      <c r="P114" s="6">
        <v>61158.57</v>
      </c>
    </row>
    <row r="115" spans="1:16" x14ac:dyDescent="0.3">
      <c r="A115" s="5" t="s">
        <v>294</v>
      </c>
      <c r="B115" s="2" t="s">
        <v>295</v>
      </c>
      <c r="C115" s="2" t="str">
        <f t="shared" si="1"/>
        <v>July</v>
      </c>
      <c r="D115" s="2" t="s">
        <v>4</v>
      </c>
      <c r="E115" s="2" t="s">
        <v>67</v>
      </c>
      <c r="F115" s="2" t="s">
        <v>68</v>
      </c>
      <c r="G115" s="2" t="s">
        <v>9</v>
      </c>
      <c r="H115" s="2" t="s">
        <v>59</v>
      </c>
      <c r="I115" s="2" t="s">
        <v>59</v>
      </c>
      <c r="J115" s="2" t="s">
        <v>15</v>
      </c>
      <c r="K115" s="2" t="s">
        <v>21</v>
      </c>
      <c r="L115" s="2">
        <v>10</v>
      </c>
      <c r="M115" s="2">
        <v>27039</v>
      </c>
      <c r="N115" s="2">
        <v>10</v>
      </c>
      <c r="O115" s="2">
        <v>243351</v>
      </c>
      <c r="P115" s="6">
        <v>13784.11</v>
      </c>
    </row>
    <row r="116" spans="1:16" x14ac:dyDescent="0.3">
      <c r="A116" s="5" t="s">
        <v>296</v>
      </c>
      <c r="B116" s="2" t="s">
        <v>297</v>
      </c>
      <c r="C116" s="2" t="str">
        <f t="shared" si="1"/>
        <v>May</v>
      </c>
      <c r="D116" s="2" t="s">
        <v>2</v>
      </c>
      <c r="E116" s="2" t="s">
        <v>103</v>
      </c>
      <c r="F116" s="2" t="s">
        <v>104</v>
      </c>
      <c r="G116" s="2" t="s">
        <v>8</v>
      </c>
      <c r="H116" s="2" t="s">
        <v>133</v>
      </c>
      <c r="I116" s="2" t="s">
        <v>133</v>
      </c>
      <c r="J116" s="2" t="s">
        <v>12</v>
      </c>
      <c r="K116" s="2" t="s">
        <v>21</v>
      </c>
      <c r="L116" s="2">
        <v>7</v>
      </c>
      <c r="M116" s="2">
        <v>24742</v>
      </c>
      <c r="N116" s="2">
        <v>5</v>
      </c>
      <c r="O116" s="2">
        <v>164534.29999999999</v>
      </c>
      <c r="P116" s="6">
        <v>16767.7</v>
      </c>
    </row>
    <row r="117" spans="1:16" x14ac:dyDescent="0.3">
      <c r="A117" s="5" t="s">
        <v>298</v>
      </c>
      <c r="B117" s="2" t="s">
        <v>299</v>
      </c>
      <c r="C117" s="2" t="str">
        <f t="shared" si="1"/>
        <v>March</v>
      </c>
      <c r="D117" s="2" t="s">
        <v>2</v>
      </c>
      <c r="E117" s="2" t="s">
        <v>103</v>
      </c>
      <c r="F117" s="2" t="s">
        <v>104</v>
      </c>
      <c r="G117" s="2" t="s">
        <v>8</v>
      </c>
      <c r="H117" s="2" t="s">
        <v>64</v>
      </c>
      <c r="I117" s="2" t="s">
        <v>64</v>
      </c>
      <c r="J117" s="2" t="s">
        <v>12</v>
      </c>
      <c r="K117" s="2" t="s">
        <v>22</v>
      </c>
      <c r="L117" s="2">
        <v>7</v>
      </c>
      <c r="M117" s="2">
        <v>9715</v>
      </c>
      <c r="N117" s="2">
        <v>10</v>
      </c>
      <c r="O117" s="2">
        <v>61204.5</v>
      </c>
      <c r="P117" s="6">
        <v>3764.73</v>
      </c>
    </row>
    <row r="118" spans="1:16" x14ac:dyDescent="0.3">
      <c r="A118" s="5" t="s">
        <v>300</v>
      </c>
      <c r="B118" s="2" t="s">
        <v>241</v>
      </c>
      <c r="C118" s="2" t="str">
        <f t="shared" si="1"/>
        <v>January</v>
      </c>
      <c r="D118" s="2" t="s">
        <v>3</v>
      </c>
      <c r="E118" s="2" t="s">
        <v>75</v>
      </c>
      <c r="F118" s="2" t="s">
        <v>75</v>
      </c>
      <c r="G118" s="2" t="s">
        <v>8</v>
      </c>
      <c r="H118" s="2" t="s">
        <v>76</v>
      </c>
      <c r="I118" s="2" t="s">
        <v>76</v>
      </c>
      <c r="J118" s="2" t="s">
        <v>17</v>
      </c>
      <c r="K118" s="2" t="s">
        <v>22</v>
      </c>
      <c r="L118" s="2">
        <v>6</v>
      </c>
      <c r="M118" s="2">
        <v>6921</v>
      </c>
      <c r="N118" s="2">
        <v>10</v>
      </c>
      <c r="O118" s="2">
        <v>37373.4</v>
      </c>
      <c r="P118" s="6">
        <v>10897.26</v>
      </c>
    </row>
    <row r="119" spans="1:16" x14ac:dyDescent="0.3">
      <c r="A119" s="5" t="s">
        <v>301</v>
      </c>
      <c r="B119" s="2" t="s">
        <v>302</v>
      </c>
      <c r="C119" s="2" t="str">
        <f t="shared" si="1"/>
        <v>April</v>
      </c>
      <c r="D119" s="2" t="s">
        <v>3</v>
      </c>
      <c r="E119" s="2" t="s">
        <v>75</v>
      </c>
      <c r="F119" s="2" t="s">
        <v>75</v>
      </c>
      <c r="G119" s="2" t="s">
        <v>8</v>
      </c>
      <c r="H119" s="2" t="s">
        <v>133</v>
      </c>
      <c r="I119" s="2" t="s">
        <v>133</v>
      </c>
      <c r="J119" s="2" t="s">
        <v>14</v>
      </c>
      <c r="K119" s="2" t="s">
        <v>22</v>
      </c>
      <c r="L119" s="2">
        <v>2</v>
      </c>
      <c r="M119" s="2">
        <v>4754</v>
      </c>
      <c r="N119" s="2">
        <v>10</v>
      </c>
      <c r="O119" s="2">
        <v>8557.2000000000007</v>
      </c>
      <c r="P119" s="6">
        <v>1823.19</v>
      </c>
    </row>
    <row r="120" spans="1:16" x14ac:dyDescent="0.3">
      <c r="A120" s="5" t="s">
        <v>303</v>
      </c>
      <c r="B120" s="2" t="s">
        <v>304</v>
      </c>
      <c r="C120" s="2" t="str">
        <f t="shared" si="1"/>
        <v>February</v>
      </c>
      <c r="D120" s="2" t="s">
        <v>4</v>
      </c>
      <c r="E120" s="2" t="s">
        <v>67</v>
      </c>
      <c r="F120" s="2" t="s">
        <v>68</v>
      </c>
      <c r="G120" s="2" t="s">
        <v>9</v>
      </c>
      <c r="H120" s="2" t="s">
        <v>72</v>
      </c>
      <c r="I120" s="2" t="s">
        <v>72</v>
      </c>
      <c r="J120" s="2" t="s">
        <v>14</v>
      </c>
      <c r="K120" s="2" t="s">
        <v>22</v>
      </c>
      <c r="L120" s="2">
        <v>2</v>
      </c>
      <c r="M120" s="2">
        <v>22280</v>
      </c>
      <c r="N120" s="2">
        <v>20</v>
      </c>
      <c r="O120" s="2">
        <v>35648</v>
      </c>
      <c r="P120" s="6">
        <v>5090.49</v>
      </c>
    </row>
    <row r="121" spans="1:16" x14ac:dyDescent="0.3">
      <c r="A121" s="5" t="s">
        <v>305</v>
      </c>
      <c r="B121" s="2" t="s">
        <v>306</v>
      </c>
      <c r="C121" s="2" t="str">
        <f t="shared" si="1"/>
        <v>August</v>
      </c>
      <c r="D121" s="2" t="s">
        <v>3</v>
      </c>
      <c r="E121" s="2" t="s">
        <v>117</v>
      </c>
      <c r="F121" s="2" t="s">
        <v>117</v>
      </c>
      <c r="G121" s="2" t="s">
        <v>9</v>
      </c>
      <c r="H121" s="2" t="s">
        <v>72</v>
      </c>
      <c r="I121" s="2" t="s">
        <v>72</v>
      </c>
      <c r="J121" s="2" t="s">
        <v>14</v>
      </c>
      <c r="K121" s="2" t="s">
        <v>21</v>
      </c>
      <c r="L121" s="2">
        <v>5</v>
      </c>
      <c r="M121" s="2">
        <v>32346</v>
      </c>
      <c r="N121" s="2">
        <v>5</v>
      </c>
      <c r="O121" s="2">
        <v>153643.5</v>
      </c>
      <c r="P121" s="6">
        <v>20622.52</v>
      </c>
    </row>
    <row r="122" spans="1:16" x14ac:dyDescent="0.3">
      <c r="A122" s="5" t="s">
        <v>307</v>
      </c>
      <c r="B122" s="2" t="s">
        <v>308</v>
      </c>
      <c r="C122" s="2" t="str">
        <f t="shared" si="1"/>
        <v>August</v>
      </c>
      <c r="D122" s="2" t="s">
        <v>2</v>
      </c>
      <c r="E122" s="2" t="s">
        <v>103</v>
      </c>
      <c r="F122" s="2" t="s">
        <v>104</v>
      </c>
      <c r="G122" s="2" t="s">
        <v>10</v>
      </c>
      <c r="H122" s="2" t="s">
        <v>69</v>
      </c>
      <c r="I122" s="2" t="s">
        <v>69</v>
      </c>
      <c r="J122" s="2" t="s">
        <v>16</v>
      </c>
      <c r="K122" s="2" t="s">
        <v>21</v>
      </c>
      <c r="L122" s="2">
        <v>3</v>
      </c>
      <c r="M122" s="2">
        <v>22986</v>
      </c>
      <c r="N122" s="2">
        <v>15</v>
      </c>
      <c r="O122" s="2">
        <v>58614.3</v>
      </c>
      <c r="P122" s="6">
        <v>12545.09</v>
      </c>
    </row>
    <row r="123" spans="1:16" x14ac:dyDescent="0.3">
      <c r="A123" s="5" t="s">
        <v>309</v>
      </c>
      <c r="B123" s="2" t="s">
        <v>310</v>
      </c>
      <c r="C123" s="2" t="str">
        <f t="shared" si="1"/>
        <v>March</v>
      </c>
      <c r="D123" s="2" t="s">
        <v>2</v>
      </c>
      <c r="E123" s="2" t="s">
        <v>103</v>
      </c>
      <c r="F123" s="2" t="s">
        <v>104</v>
      </c>
      <c r="G123" s="2" t="s">
        <v>8</v>
      </c>
      <c r="H123" s="2" t="s">
        <v>64</v>
      </c>
      <c r="I123" s="2" t="s">
        <v>64</v>
      </c>
      <c r="J123" s="2" t="s">
        <v>18</v>
      </c>
      <c r="K123" s="2" t="s">
        <v>22</v>
      </c>
      <c r="L123" s="2">
        <v>6</v>
      </c>
      <c r="M123" s="2">
        <v>19692</v>
      </c>
      <c r="N123" s="2">
        <v>10</v>
      </c>
      <c r="O123" s="2">
        <v>106336.8</v>
      </c>
      <c r="P123" s="6">
        <v>14520.78</v>
      </c>
    </row>
    <row r="124" spans="1:16" x14ac:dyDescent="0.3">
      <c r="A124" s="5" t="s">
        <v>311</v>
      </c>
      <c r="B124" s="2" t="s">
        <v>71</v>
      </c>
      <c r="C124" s="2" t="str">
        <f t="shared" si="1"/>
        <v>June</v>
      </c>
      <c r="D124" s="2" t="s">
        <v>4</v>
      </c>
      <c r="E124" s="2" t="s">
        <v>62</v>
      </c>
      <c r="F124" s="2" t="s">
        <v>63</v>
      </c>
      <c r="G124" s="2" t="s">
        <v>9</v>
      </c>
      <c r="H124" s="2" t="s">
        <v>72</v>
      </c>
      <c r="I124" s="2" t="s">
        <v>72</v>
      </c>
      <c r="J124" s="2" t="s">
        <v>13</v>
      </c>
      <c r="K124" s="2" t="s">
        <v>21</v>
      </c>
      <c r="L124" s="2">
        <v>2</v>
      </c>
      <c r="M124" s="2">
        <v>8903</v>
      </c>
      <c r="N124" s="2">
        <v>10</v>
      </c>
      <c r="O124" s="2">
        <v>16025.4</v>
      </c>
      <c r="P124" s="6">
        <v>1149.31</v>
      </c>
    </row>
    <row r="125" spans="1:16" x14ac:dyDescent="0.3">
      <c r="A125" s="5" t="s">
        <v>312</v>
      </c>
      <c r="B125" s="2" t="s">
        <v>74</v>
      </c>
      <c r="C125" s="2" t="str">
        <f t="shared" si="1"/>
        <v>March</v>
      </c>
      <c r="D125" s="2" t="s">
        <v>2</v>
      </c>
      <c r="E125" s="2" t="s">
        <v>103</v>
      </c>
      <c r="F125" s="2" t="s">
        <v>104</v>
      </c>
      <c r="G125" s="2" t="s">
        <v>10</v>
      </c>
      <c r="H125" s="2" t="s">
        <v>54</v>
      </c>
      <c r="I125" s="2" t="s">
        <v>54</v>
      </c>
      <c r="J125" s="2" t="s">
        <v>17</v>
      </c>
      <c r="K125" s="2" t="s">
        <v>21</v>
      </c>
      <c r="L125" s="2">
        <v>4</v>
      </c>
      <c r="M125" s="2">
        <v>34111</v>
      </c>
      <c r="N125" s="2">
        <v>10</v>
      </c>
      <c r="O125" s="2">
        <v>122799.6</v>
      </c>
      <c r="P125" s="6">
        <v>20187.080000000002</v>
      </c>
    </row>
    <row r="126" spans="1:16" x14ac:dyDescent="0.3">
      <c r="A126" s="5" t="s">
        <v>313</v>
      </c>
      <c r="B126" s="2" t="s">
        <v>314</v>
      </c>
      <c r="C126" s="2" t="str">
        <f t="shared" si="1"/>
        <v>June</v>
      </c>
      <c r="D126" s="2" t="s">
        <v>2</v>
      </c>
      <c r="E126" s="2" t="s">
        <v>103</v>
      </c>
      <c r="F126" s="2" t="s">
        <v>104</v>
      </c>
      <c r="G126" s="2" t="s">
        <v>8</v>
      </c>
      <c r="H126" s="2" t="s">
        <v>133</v>
      </c>
      <c r="I126" s="2" t="s">
        <v>133</v>
      </c>
      <c r="J126" s="2" t="s">
        <v>18</v>
      </c>
      <c r="K126" s="2" t="s">
        <v>21</v>
      </c>
      <c r="L126" s="2">
        <v>7</v>
      </c>
      <c r="M126" s="2">
        <v>6440</v>
      </c>
      <c r="N126" s="2">
        <v>20</v>
      </c>
      <c r="O126" s="2">
        <v>36064</v>
      </c>
      <c r="P126" s="6">
        <v>9816.31</v>
      </c>
    </row>
    <row r="127" spans="1:16" x14ac:dyDescent="0.3">
      <c r="A127" s="5" t="s">
        <v>315</v>
      </c>
      <c r="B127" s="2" t="s">
        <v>316</v>
      </c>
      <c r="C127" s="2" t="str">
        <f t="shared" si="1"/>
        <v>June</v>
      </c>
      <c r="D127" s="2" t="s">
        <v>4</v>
      </c>
      <c r="E127" s="2" t="s">
        <v>62</v>
      </c>
      <c r="F127" s="2" t="s">
        <v>63</v>
      </c>
      <c r="G127" s="2" t="s">
        <v>8</v>
      </c>
      <c r="H127" s="2" t="s">
        <v>76</v>
      </c>
      <c r="I127" s="2" t="s">
        <v>76</v>
      </c>
      <c r="J127" s="2" t="s">
        <v>12</v>
      </c>
      <c r="K127" s="2" t="s">
        <v>22</v>
      </c>
      <c r="L127" s="2">
        <v>9</v>
      </c>
      <c r="M127" s="2">
        <v>17227</v>
      </c>
      <c r="N127" s="2">
        <v>20</v>
      </c>
      <c r="O127" s="2">
        <v>124034.4</v>
      </c>
      <c r="P127" s="6">
        <v>35059.51</v>
      </c>
    </row>
    <row r="128" spans="1:16" x14ac:dyDescent="0.3">
      <c r="A128" s="5" t="s">
        <v>317</v>
      </c>
      <c r="B128" s="2" t="s">
        <v>318</v>
      </c>
      <c r="C128" s="2" t="str">
        <f t="shared" si="1"/>
        <v>April</v>
      </c>
      <c r="D128" s="2" t="s">
        <v>3</v>
      </c>
      <c r="E128" s="2" t="s">
        <v>117</v>
      </c>
      <c r="F128" s="2" t="s">
        <v>117</v>
      </c>
      <c r="G128" s="2" t="s">
        <v>9</v>
      </c>
      <c r="H128" s="2" t="s">
        <v>72</v>
      </c>
      <c r="I128" s="2" t="s">
        <v>72</v>
      </c>
      <c r="J128" s="2" t="s">
        <v>16</v>
      </c>
      <c r="K128" s="2" t="s">
        <v>21</v>
      </c>
      <c r="L128" s="2">
        <v>6</v>
      </c>
      <c r="M128" s="2">
        <v>32696</v>
      </c>
      <c r="N128" s="2">
        <v>5</v>
      </c>
      <c r="O128" s="2">
        <v>186367.2</v>
      </c>
      <c r="P128" s="6">
        <v>14346.99</v>
      </c>
    </row>
    <row r="129" spans="1:16" x14ac:dyDescent="0.3">
      <c r="A129" s="5" t="s">
        <v>319</v>
      </c>
      <c r="B129" s="2" t="s">
        <v>320</v>
      </c>
      <c r="C129" s="2" t="str">
        <f t="shared" si="1"/>
        <v>October</v>
      </c>
      <c r="D129" s="2" t="s">
        <v>2</v>
      </c>
      <c r="E129" s="2" t="s">
        <v>103</v>
      </c>
      <c r="F129" s="2" t="s">
        <v>104</v>
      </c>
      <c r="G129" s="2" t="s">
        <v>9</v>
      </c>
      <c r="H129" s="2" t="s">
        <v>90</v>
      </c>
      <c r="I129" s="2" t="s">
        <v>90</v>
      </c>
      <c r="J129" s="2" t="s">
        <v>17</v>
      </c>
      <c r="K129" s="2" t="s">
        <v>21</v>
      </c>
      <c r="L129" s="2">
        <v>1</v>
      </c>
      <c r="M129" s="2">
        <v>44828</v>
      </c>
      <c r="N129" s="2">
        <v>5</v>
      </c>
      <c r="O129" s="2">
        <v>42586.6</v>
      </c>
      <c r="P129" s="6">
        <v>9146.64</v>
      </c>
    </row>
    <row r="130" spans="1:16" x14ac:dyDescent="0.3">
      <c r="A130" s="5" t="s">
        <v>321</v>
      </c>
      <c r="B130" s="2" t="s">
        <v>322</v>
      </c>
      <c r="C130" s="2" t="str">
        <f t="shared" si="1"/>
        <v>January</v>
      </c>
      <c r="D130" s="2" t="s">
        <v>5</v>
      </c>
      <c r="E130" s="2" t="s">
        <v>57</v>
      </c>
      <c r="F130" s="2" t="s">
        <v>58</v>
      </c>
      <c r="G130" s="2" t="s">
        <v>10</v>
      </c>
      <c r="H130" s="2" t="s">
        <v>100</v>
      </c>
      <c r="I130" s="2" t="s">
        <v>100</v>
      </c>
      <c r="J130" s="2" t="s">
        <v>18</v>
      </c>
      <c r="K130" s="2" t="s">
        <v>21</v>
      </c>
      <c r="L130" s="2">
        <v>4</v>
      </c>
      <c r="M130" s="2">
        <v>34493</v>
      </c>
      <c r="N130" s="2">
        <v>0</v>
      </c>
      <c r="O130" s="2">
        <v>137972</v>
      </c>
      <c r="P130" s="6">
        <v>23672.26</v>
      </c>
    </row>
    <row r="131" spans="1:16" x14ac:dyDescent="0.3">
      <c r="A131" s="5" t="s">
        <v>323</v>
      </c>
      <c r="B131" s="2" t="s">
        <v>324</v>
      </c>
      <c r="C131" s="2" t="str">
        <f t="shared" ref="C131:C194" si="2">TEXT(B131,"mmmm")</f>
        <v>November</v>
      </c>
      <c r="D131" s="2" t="s">
        <v>3</v>
      </c>
      <c r="E131" s="2" t="s">
        <v>75</v>
      </c>
      <c r="F131" s="2" t="s">
        <v>75</v>
      </c>
      <c r="G131" s="2" t="s">
        <v>8</v>
      </c>
      <c r="H131" s="2" t="s">
        <v>133</v>
      </c>
      <c r="I131" s="2" t="s">
        <v>133</v>
      </c>
      <c r="J131" s="2" t="s">
        <v>16</v>
      </c>
      <c r="K131" s="2" t="s">
        <v>22</v>
      </c>
      <c r="L131" s="2">
        <v>8</v>
      </c>
      <c r="M131" s="2">
        <v>38557</v>
      </c>
      <c r="N131" s="2">
        <v>10</v>
      </c>
      <c r="O131" s="2">
        <v>277610.40000000002</v>
      </c>
      <c r="P131" s="6">
        <v>71248.11</v>
      </c>
    </row>
    <row r="132" spans="1:16" x14ac:dyDescent="0.3">
      <c r="A132" s="5" t="s">
        <v>325</v>
      </c>
      <c r="B132" s="2" t="s">
        <v>61</v>
      </c>
      <c r="C132" s="2" t="str">
        <f t="shared" si="2"/>
        <v>April</v>
      </c>
      <c r="D132" s="2" t="s">
        <v>4</v>
      </c>
      <c r="E132" s="2" t="s">
        <v>62</v>
      </c>
      <c r="F132" s="2" t="s">
        <v>63</v>
      </c>
      <c r="G132" s="2" t="s">
        <v>9</v>
      </c>
      <c r="H132" s="2" t="s">
        <v>90</v>
      </c>
      <c r="I132" s="2" t="s">
        <v>90</v>
      </c>
      <c r="J132" s="2" t="s">
        <v>14</v>
      </c>
      <c r="K132" s="2" t="s">
        <v>22</v>
      </c>
      <c r="L132" s="2">
        <v>10</v>
      </c>
      <c r="M132" s="2">
        <v>20507</v>
      </c>
      <c r="N132" s="2">
        <v>5</v>
      </c>
      <c r="O132" s="2">
        <v>194816.5</v>
      </c>
      <c r="P132" s="6">
        <v>18978.099999999999</v>
      </c>
    </row>
    <row r="133" spans="1:16" x14ac:dyDescent="0.3">
      <c r="A133" s="5" t="s">
        <v>326</v>
      </c>
      <c r="B133" s="2" t="s">
        <v>327</v>
      </c>
      <c r="C133" s="2" t="str">
        <f t="shared" si="2"/>
        <v>June</v>
      </c>
      <c r="D133" s="2" t="s">
        <v>2</v>
      </c>
      <c r="E133" s="2" t="s">
        <v>103</v>
      </c>
      <c r="F133" s="2" t="s">
        <v>104</v>
      </c>
      <c r="G133" s="2" t="s">
        <v>10</v>
      </c>
      <c r="H133" s="2" t="s">
        <v>83</v>
      </c>
      <c r="I133" s="2" t="s">
        <v>83</v>
      </c>
      <c r="J133" s="2" t="s">
        <v>17</v>
      </c>
      <c r="K133" s="2" t="s">
        <v>22</v>
      </c>
      <c r="L133" s="2">
        <v>10</v>
      </c>
      <c r="M133" s="2">
        <v>28603</v>
      </c>
      <c r="N133" s="2">
        <v>15</v>
      </c>
      <c r="O133" s="2">
        <v>243125.5</v>
      </c>
      <c r="P133" s="6">
        <v>67781.899999999994</v>
      </c>
    </row>
    <row r="134" spans="1:16" x14ac:dyDescent="0.3">
      <c r="A134" s="5" t="s">
        <v>328</v>
      </c>
      <c r="B134" s="2" t="s">
        <v>287</v>
      </c>
      <c r="C134" s="2" t="str">
        <f t="shared" si="2"/>
        <v>November</v>
      </c>
      <c r="D134" s="2" t="s">
        <v>4</v>
      </c>
      <c r="E134" s="2" t="s">
        <v>62</v>
      </c>
      <c r="F134" s="2" t="s">
        <v>63</v>
      </c>
      <c r="G134" s="2" t="s">
        <v>9</v>
      </c>
      <c r="H134" s="2" t="s">
        <v>90</v>
      </c>
      <c r="I134" s="2" t="s">
        <v>90</v>
      </c>
      <c r="J134" s="2" t="s">
        <v>13</v>
      </c>
      <c r="K134" s="2" t="s">
        <v>21</v>
      </c>
      <c r="L134" s="2">
        <v>10</v>
      </c>
      <c r="M134" s="2">
        <v>32781</v>
      </c>
      <c r="N134" s="2">
        <v>10</v>
      </c>
      <c r="O134" s="2">
        <v>295029</v>
      </c>
      <c r="P134" s="6">
        <v>75800.73</v>
      </c>
    </row>
    <row r="135" spans="1:16" x14ac:dyDescent="0.3">
      <c r="A135" s="5" t="s">
        <v>329</v>
      </c>
      <c r="B135" s="2" t="s">
        <v>330</v>
      </c>
      <c r="C135" s="2" t="str">
        <f t="shared" si="2"/>
        <v>June</v>
      </c>
      <c r="D135" s="2" t="s">
        <v>5</v>
      </c>
      <c r="E135" s="2" t="s">
        <v>57</v>
      </c>
      <c r="F135" s="2" t="s">
        <v>58</v>
      </c>
      <c r="G135" s="2" t="s">
        <v>9</v>
      </c>
      <c r="H135" s="2" t="s">
        <v>126</v>
      </c>
      <c r="I135" s="2" t="s">
        <v>126</v>
      </c>
      <c r="J135" s="2" t="s">
        <v>12</v>
      </c>
      <c r="K135" s="2" t="s">
        <v>21</v>
      </c>
      <c r="L135" s="2">
        <v>2</v>
      </c>
      <c r="M135" s="2">
        <v>45825</v>
      </c>
      <c r="N135" s="2">
        <v>15</v>
      </c>
      <c r="O135" s="2">
        <v>77902.5</v>
      </c>
      <c r="P135" s="6">
        <v>14114.44</v>
      </c>
    </row>
    <row r="136" spans="1:16" x14ac:dyDescent="0.3">
      <c r="A136" s="5" t="s">
        <v>331</v>
      </c>
      <c r="B136" s="2" t="s">
        <v>332</v>
      </c>
      <c r="C136" s="2" t="str">
        <f t="shared" si="2"/>
        <v>July</v>
      </c>
      <c r="D136" s="2" t="s">
        <v>3</v>
      </c>
      <c r="E136" s="2" t="s">
        <v>75</v>
      </c>
      <c r="F136" s="2" t="s">
        <v>75</v>
      </c>
      <c r="G136" s="2" t="s">
        <v>8</v>
      </c>
      <c r="H136" s="2" t="s">
        <v>133</v>
      </c>
      <c r="I136" s="2" t="s">
        <v>133</v>
      </c>
      <c r="J136" s="2" t="s">
        <v>16</v>
      </c>
      <c r="K136" s="2" t="s">
        <v>21</v>
      </c>
      <c r="L136" s="2">
        <v>9</v>
      </c>
      <c r="M136" s="2">
        <v>16575</v>
      </c>
      <c r="N136" s="2">
        <v>10</v>
      </c>
      <c r="O136" s="2">
        <v>134257.5</v>
      </c>
      <c r="P136" s="6">
        <v>38266.870000000003</v>
      </c>
    </row>
    <row r="137" spans="1:16" x14ac:dyDescent="0.3">
      <c r="A137" s="5" t="s">
        <v>333</v>
      </c>
      <c r="B137" s="2" t="s">
        <v>334</v>
      </c>
      <c r="C137" s="2" t="str">
        <f t="shared" si="2"/>
        <v>November</v>
      </c>
      <c r="D137" s="2" t="s">
        <v>4</v>
      </c>
      <c r="E137" s="2" t="s">
        <v>67</v>
      </c>
      <c r="F137" s="2" t="s">
        <v>68</v>
      </c>
      <c r="G137" s="2" t="s">
        <v>9</v>
      </c>
      <c r="H137" s="2" t="s">
        <v>90</v>
      </c>
      <c r="I137" s="2" t="s">
        <v>90</v>
      </c>
      <c r="J137" s="2" t="s">
        <v>18</v>
      </c>
      <c r="K137" s="2" t="s">
        <v>22</v>
      </c>
      <c r="L137" s="2">
        <v>9</v>
      </c>
      <c r="M137" s="2">
        <v>36599</v>
      </c>
      <c r="N137" s="2">
        <v>10</v>
      </c>
      <c r="O137" s="2">
        <v>296451.90000000002</v>
      </c>
      <c r="P137" s="6">
        <v>72898.509999999995</v>
      </c>
    </row>
    <row r="138" spans="1:16" x14ac:dyDescent="0.3">
      <c r="A138" s="5" t="s">
        <v>335</v>
      </c>
      <c r="B138" s="2" t="s">
        <v>336</v>
      </c>
      <c r="C138" s="2" t="str">
        <f t="shared" si="2"/>
        <v>April</v>
      </c>
      <c r="D138" s="2" t="s">
        <v>4</v>
      </c>
      <c r="E138" s="2" t="s">
        <v>62</v>
      </c>
      <c r="F138" s="2" t="s">
        <v>63</v>
      </c>
      <c r="G138" s="2" t="s">
        <v>8</v>
      </c>
      <c r="H138" s="2" t="s">
        <v>133</v>
      </c>
      <c r="I138" s="2" t="s">
        <v>133</v>
      </c>
      <c r="J138" s="2" t="s">
        <v>12</v>
      </c>
      <c r="K138" s="2" t="s">
        <v>21</v>
      </c>
      <c r="L138" s="2">
        <v>2</v>
      </c>
      <c r="M138" s="2">
        <v>45775</v>
      </c>
      <c r="N138" s="2">
        <v>5</v>
      </c>
      <c r="O138" s="2">
        <v>86972.5</v>
      </c>
      <c r="P138" s="6">
        <v>8951.27</v>
      </c>
    </row>
    <row r="139" spans="1:16" x14ac:dyDescent="0.3">
      <c r="A139" s="5" t="s">
        <v>337</v>
      </c>
      <c r="B139" s="2" t="s">
        <v>338</v>
      </c>
      <c r="C139" s="2" t="str">
        <f t="shared" si="2"/>
        <v>March</v>
      </c>
      <c r="D139" s="2" t="s">
        <v>5</v>
      </c>
      <c r="E139" s="2" t="s">
        <v>57</v>
      </c>
      <c r="F139" s="2" t="s">
        <v>58</v>
      </c>
      <c r="G139" s="2" t="s">
        <v>10</v>
      </c>
      <c r="H139" s="2" t="s">
        <v>54</v>
      </c>
      <c r="I139" s="2" t="s">
        <v>54</v>
      </c>
      <c r="J139" s="2" t="s">
        <v>18</v>
      </c>
      <c r="K139" s="2" t="s">
        <v>21</v>
      </c>
      <c r="L139" s="2">
        <v>5</v>
      </c>
      <c r="M139" s="2">
        <v>32985</v>
      </c>
      <c r="N139" s="2">
        <v>15</v>
      </c>
      <c r="O139" s="2">
        <v>140186.25</v>
      </c>
      <c r="P139" s="6">
        <v>30382.17</v>
      </c>
    </row>
    <row r="140" spans="1:16" x14ac:dyDescent="0.3">
      <c r="A140" s="5" t="s">
        <v>339</v>
      </c>
      <c r="B140" s="2" t="s">
        <v>340</v>
      </c>
      <c r="C140" s="2" t="str">
        <f t="shared" si="2"/>
        <v>May</v>
      </c>
      <c r="D140" s="2" t="s">
        <v>3</v>
      </c>
      <c r="E140" s="2" t="s">
        <v>117</v>
      </c>
      <c r="F140" s="2" t="s">
        <v>117</v>
      </c>
      <c r="G140" s="2" t="s">
        <v>8</v>
      </c>
      <c r="H140" s="2" t="s">
        <v>76</v>
      </c>
      <c r="I140" s="2" t="s">
        <v>76</v>
      </c>
      <c r="J140" s="2" t="s">
        <v>14</v>
      </c>
      <c r="K140" s="2" t="s">
        <v>22</v>
      </c>
      <c r="L140" s="2">
        <v>10</v>
      </c>
      <c r="M140" s="2">
        <v>38023</v>
      </c>
      <c r="N140" s="2">
        <v>10</v>
      </c>
      <c r="O140" s="2">
        <v>342207</v>
      </c>
      <c r="P140" s="6">
        <v>91237.52</v>
      </c>
    </row>
    <row r="141" spans="1:16" x14ac:dyDescent="0.3">
      <c r="A141" s="5" t="s">
        <v>341</v>
      </c>
      <c r="B141" s="2" t="s">
        <v>342</v>
      </c>
      <c r="C141" s="2" t="str">
        <f t="shared" si="2"/>
        <v>January</v>
      </c>
      <c r="D141" s="2" t="s">
        <v>5</v>
      </c>
      <c r="E141" s="2" t="s">
        <v>57</v>
      </c>
      <c r="F141" s="2" t="s">
        <v>58</v>
      </c>
      <c r="G141" s="2" t="s">
        <v>8</v>
      </c>
      <c r="H141" s="2" t="s">
        <v>133</v>
      </c>
      <c r="I141" s="2" t="s">
        <v>133</v>
      </c>
      <c r="J141" s="2" t="s">
        <v>14</v>
      </c>
      <c r="K141" s="2" t="s">
        <v>22</v>
      </c>
      <c r="L141" s="2">
        <v>5</v>
      </c>
      <c r="M141" s="2">
        <v>3562</v>
      </c>
      <c r="N141" s="2">
        <v>20</v>
      </c>
      <c r="O141" s="2">
        <v>14248</v>
      </c>
      <c r="P141" s="6">
        <v>1967.65</v>
      </c>
    </row>
    <row r="142" spans="1:16" x14ac:dyDescent="0.3">
      <c r="A142" s="5" t="s">
        <v>343</v>
      </c>
      <c r="B142" s="2" t="s">
        <v>112</v>
      </c>
      <c r="C142" s="2" t="str">
        <f t="shared" si="2"/>
        <v>November</v>
      </c>
      <c r="D142" s="2" t="s">
        <v>2</v>
      </c>
      <c r="E142" s="2" t="s">
        <v>81</v>
      </c>
      <c r="F142" s="2" t="s">
        <v>82</v>
      </c>
      <c r="G142" s="2" t="s">
        <v>9</v>
      </c>
      <c r="H142" s="2" t="s">
        <v>72</v>
      </c>
      <c r="I142" s="2" t="s">
        <v>72</v>
      </c>
      <c r="J142" s="2" t="s">
        <v>12</v>
      </c>
      <c r="K142" s="2" t="s">
        <v>22</v>
      </c>
      <c r="L142" s="2">
        <v>4</v>
      </c>
      <c r="M142" s="2">
        <v>30415</v>
      </c>
      <c r="N142" s="2">
        <v>5</v>
      </c>
      <c r="O142" s="2">
        <v>115577</v>
      </c>
      <c r="P142" s="6">
        <v>10097.01</v>
      </c>
    </row>
    <row r="143" spans="1:16" x14ac:dyDescent="0.3">
      <c r="A143" s="5" t="s">
        <v>344</v>
      </c>
      <c r="B143" s="2" t="s">
        <v>345</v>
      </c>
      <c r="C143" s="2" t="str">
        <f t="shared" si="2"/>
        <v>March</v>
      </c>
      <c r="D143" s="2" t="s">
        <v>2</v>
      </c>
      <c r="E143" s="2" t="s">
        <v>103</v>
      </c>
      <c r="F143" s="2" t="s">
        <v>104</v>
      </c>
      <c r="G143" s="2" t="s">
        <v>9</v>
      </c>
      <c r="H143" s="2" t="s">
        <v>126</v>
      </c>
      <c r="I143" s="2" t="s">
        <v>126</v>
      </c>
      <c r="J143" s="2" t="s">
        <v>14</v>
      </c>
      <c r="K143" s="2" t="s">
        <v>22</v>
      </c>
      <c r="L143" s="2">
        <v>10</v>
      </c>
      <c r="M143" s="2">
        <v>22554</v>
      </c>
      <c r="N143" s="2">
        <v>5</v>
      </c>
      <c r="O143" s="2">
        <v>214263</v>
      </c>
      <c r="P143" s="6">
        <v>39521.480000000003</v>
      </c>
    </row>
    <row r="144" spans="1:16" x14ac:dyDescent="0.3">
      <c r="A144" s="5" t="s">
        <v>346</v>
      </c>
      <c r="B144" s="2" t="s">
        <v>347</v>
      </c>
      <c r="C144" s="2" t="str">
        <f t="shared" si="2"/>
        <v>September</v>
      </c>
      <c r="D144" s="2" t="s">
        <v>4</v>
      </c>
      <c r="E144" s="2" t="s">
        <v>62</v>
      </c>
      <c r="F144" s="2" t="s">
        <v>63</v>
      </c>
      <c r="G144" s="2" t="s">
        <v>8</v>
      </c>
      <c r="H144" s="2" t="s">
        <v>93</v>
      </c>
      <c r="I144" s="2" t="s">
        <v>93</v>
      </c>
      <c r="J144" s="2" t="s">
        <v>18</v>
      </c>
      <c r="K144" s="2" t="s">
        <v>21</v>
      </c>
      <c r="L144" s="2">
        <v>10</v>
      </c>
      <c r="M144" s="2">
        <v>20730</v>
      </c>
      <c r="N144" s="2">
        <v>5</v>
      </c>
      <c r="O144" s="2">
        <v>196935</v>
      </c>
      <c r="P144" s="6">
        <v>57795.89</v>
      </c>
    </row>
    <row r="145" spans="1:16" x14ac:dyDescent="0.3">
      <c r="A145" s="5" t="s">
        <v>348</v>
      </c>
      <c r="B145" s="2" t="s">
        <v>349</v>
      </c>
      <c r="C145" s="2" t="str">
        <f t="shared" si="2"/>
        <v>June</v>
      </c>
      <c r="D145" s="2" t="s">
        <v>3</v>
      </c>
      <c r="E145" s="2" t="s">
        <v>117</v>
      </c>
      <c r="F145" s="2" t="s">
        <v>117</v>
      </c>
      <c r="G145" s="2" t="s">
        <v>9</v>
      </c>
      <c r="H145" s="2" t="s">
        <v>72</v>
      </c>
      <c r="I145" s="2" t="s">
        <v>72</v>
      </c>
      <c r="J145" s="2" t="s">
        <v>13</v>
      </c>
      <c r="K145" s="2" t="s">
        <v>21</v>
      </c>
      <c r="L145" s="2">
        <v>10</v>
      </c>
      <c r="M145" s="2">
        <v>44972</v>
      </c>
      <c r="N145" s="2">
        <v>0</v>
      </c>
      <c r="O145" s="2">
        <v>449720</v>
      </c>
      <c r="P145" s="6">
        <v>75512.56</v>
      </c>
    </row>
    <row r="146" spans="1:16" x14ac:dyDescent="0.3">
      <c r="A146" s="5" t="s">
        <v>350</v>
      </c>
      <c r="B146" s="2" t="s">
        <v>102</v>
      </c>
      <c r="C146" s="2" t="str">
        <f t="shared" si="2"/>
        <v>February</v>
      </c>
      <c r="D146" s="2" t="s">
        <v>5</v>
      </c>
      <c r="E146" s="2" t="s">
        <v>57</v>
      </c>
      <c r="F146" s="2" t="s">
        <v>58</v>
      </c>
      <c r="G146" s="2" t="s">
        <v>9</v>
      </c>
      <c r="H146" s="2" t="s">
        <v>72</v>
      </c>
      <c r="I146" s="2" t="s">
        <v>72</v>
      </c>
      <c r="J146" s="2" t="s">
        <v>17</v>
      </c>
      <c r="K146" s="2" t="s">
        <v>21</v>
      </c>
      <c r="L146" s="2">
        <v>3</v>
      </c>
      <c r="M146" s="2">
        <v>20323</v>
      </c>
      <c r="N146" s="2">
        <v>5</v>
      </c>
      <c r="O146" s="2">
        <v>57920.55</v>
      </c>
      <c r="P146" s="6">
        <v>6964.61</v>
      </c>
    </row>
    <row r="147" spans="1:16" x14ac:dyDescent="0.3">
      <c r="A147" s="5" t="s">
        <v>351</v>
      </c>
      <c r="B147" s="2" t="s">
        <v>208</v>
      </c>
      <c r="C147" s="2" t="str">
        <f t="shared" si="2"/>
        <v>January</v>
      </c>
      <c r="D147" s="2" t="s">
        <v>5</v>
      </c>
      <c r="E147" s="2" t="s">
        <v>57</v>
      </c>
      <c r="F147" s="2" t="s">
        <v>58</v>
      </c>
      <c r="G147" s="2" t="s">
        <v>9</v>
      </c>
      <c r="H147" s="2" t="s">
        <v>126</v>
      </c>
      <c r="I147" s="2" t="s">
        <v>126</v>
      </c>
      <c r="J147" s="2" t="s">
        <v>14</v>
      </c>
      <c r="K147" s="2" t="s">
        <v>21</v>
      </c>
      <c r="L147" s="2">
        <v>5</v>
      </c>
      <c r="M147" s="2">
        <v>38792</v>
      </c>
      <c r="N147" s="2">
        <v>10</v>
      </c>
      <c r="O147" s="2">
        <v>174564</v>
      </c>
      <c r="P147" s="6">
        <v>40968.519999999997</v>
      </c>
    </row>
    <row r="148" spans="1:16" x14ac:dyDescent="0.3">
      <c r="A148" s="5" t="s">
        <v>352</v>
      </c>
      <c r="B148" s="2" t="s">
        <v>342</v>
      </c>
      <c r="C148" s="2" t="str">
        <f t="shared" si="2"/>
        <v>January</v>
      </c>
      <c r="D148" s="2" t="s">
        <v>2</v>
      </c>
      <c r="E148" s="2" t="s">
        <v>103</v>
      </c>
      <c r="F148" s="2" t="s">
        <v>104</v>
      </c>
      <c r="G148" s="2" t="s">
        <v>8</v>
      </c>
      <c r="H148" s="2" t="s">
        <v>93</v>
      </c>
      <c r="I148" s="2" t="s">
        <v>93</v>
      </c>
      <c r="J148" s="2" t="s">
        <v>13</v>
      </c>
      <c r="K148" s="2" t="s">
        <v>22</v>
      </c>
      <c r="L148" s="2">
        <v>4</v>
      </c>
      <c r="M148" s="2">
        <v>20250</v>
      </c>
      <c r="N148" s="2">
        <v>20</v>
      </c>
      <c r="O148" s="2">
        <v>64800</v>
      </c>
      <c r="P148" s="6">
        <v>15874.2</v>
      </c>
    </row>
    <row r="149" spans="1:16" x14ac:dyDescent="0.3">
      <c r="A149" s="5" t="s">
        <v>353</v>
      </c>
      <c r="B149" s="2" t="s">
        <v>354</v>
      </c>
      <c r="C149" s="2" t="str">
        <f t="shared" si="2"/>
        <v>May</v>
      </c>
      <c r="D149" s="2" t="s">
        <v>3</v>
      </c>
      <c r="E149" s="2" t="s">
        <v>75</v>
      </c>
      <c r="F149" s="2" t="s">
        <v>75</v>
      </c>
      <c r="G149" s="2" t="s">
        <v>10</v>
      </c>
      <c r="H149" s="2" t="s">
        <v>54</v>
      </c>
      <c r="I149" s="2" t="s">
        <v>54</v>
      </c>
      <c r="J149" s="2" t="s">
        <v>16</v>
      </c>
      <c r="K149" s="2" t="s">
        <v>21</v>
      </c>
      <c r="L149" s="2">
        <v>9</v>
      </c>
      <c r="M149" s="2">
        <v>2531</v>
      </c>
      <c r="N149" s="2">
        <v>15</v>
      </c>
      <c r="O149" s="2">
        <v>19362.150000000001</v>
      </c>
      <c r="P149" s="6">
        <v>4074.83</v>
      </c>
    </row>
    <row r="150" spans="1:16" x14ac:dyDescent="0.3">
      <c r="A150" s="5" t="s">
        <v>355</v>
      </c>
      <c r="B150" s="2" t="s">
        <v>356</v>
      </c>
      <c r="C150" s="2" t="str">
        <f t="shared" si="2"/>
        <v>June</v>
      </c>
      <c r="D150" s="2" t="s">
        <v>3</v>
      </c>
      <c r="E150" s="2" t="s">
        <v>75</v>
      </c>
      <c r="F150" s="2" t="s">
        <v>75</v>
      </c>
      <c r="G150" s="2" t="s">
        <v>10</v>
      </c>
      <c r="H150" s="2" t="s">
        <v>69</v>
      </c>
      <c r="I150" s="2" t="s">
        <v>69</v>
      </c>
      <c r="J150" s="2" t="s">
        <v>14</v>
      </c>
      <c r="K150" s="2" t="s">
        <v>22</v>
      </c>
      <c r="L150" s="2">
        <v>7</v>
      </c>
      <c r="M150" s="2">
        <v>17564</v>
      </c>
      <c r="N150" s="2">
        <v>0</v>
      </c>
      <c r="O150" s="2">
        <v>122948</v>
      </c>
      <c r="P150" s="6">
        <v>21657.53</v>
      </c>
    </row>
    <row r="151" spans="1:16" x14ac:dyDescent="0.3">
      <c r="A151" s="5" t="s">
        <v>357</v>
      </c>
      <c r="B151" s="2" t="s">
        <v>358</v>
      </c>
      <c r="C151" s="2" t="str">
        <f t="shared" si="2"/>
        <v>February</v>
      </c>
      <c r="D151" s="2" t="s">
        <v>5</v>
      </c>
      <c r="E151" s="2" t="s">
        <v>57</v>
      </c>
      <c r="F151" s="2" t="s">
        <v>58</v>
      </c>
      <c r="G151" s="2" t="s">
        <v>10</v>
      </c>
      <c r="H151" s="2" t="s">
        <v>83</v>
      </c>
      <c r="I151" s="2" t="s">
        <v>83</v>
      </c>
      <c r="J151" s="2" t="s">
        <v>17</v>
      </c>
      <c r="K151" s="2" t="s">
        <v>21</v>
      </c>
      <c r="L151" s="2">
        <v>9</v>
      </c>
      <c r="M151" s="2">
        <v>512</v>
      </c>
      <c r="N151" s="2">
        <v>20</v>
      </c>
      <c r="O151" s="2">
        <v>3686.4</v>
      </c>
      <c r="P151" s="6">
        <v>331.59</v>
      </c>
    </row>
    <row r="152" spans="1:16" x14ac:dyDescent="0.3">
      <c r="A152" s="5" t="s">
        <v>359</v>
      </c>
      <c r="B152" s="2" t="s">
        <v>360</v>
      </c>
      <c r="C152" s="2" t="str">
        <f t="shared" si="2"/>
        <v>April</v>
      </c>
      <c r="D152" s="2" t="s">
        <v>5</v>
      </c>
      <c r="E152" s="2" t="s">
        <v>57</v>
      </c>
      <c r="F152" s="2" t="s">
        <v>58</v>
      </c>
      <c r="G152" s="2" t="s">
        <v>8</v>
      </c>
      <c r="H152" s="2" t="s">
        <v>133</v>
      </c>
      <c r="I152" s="2" t="s">
        <v>133</v>
      </c>
      <c r="J152" s="2" t="s">
        <v>12</v>
      </c>
      <c r="K152" s="2" t="s">
        <v>21</v>
      </c>
      <c r="L152" s="2">
        <v>3</v>
      </c>
      <c r="M152" s="2">
        <v>30770</v>
      </c>
      <c r="N152" s="2">
        <v>15</v>
      </c>
      <c r="O152" s="2">
        <v>78463.5</v>
      </c>
      <c r="P152" s="6">
        <v>13392.47</v>
      </c>
    </row>
    <row r="153" spans="1:16" x14ac:dyDescent="0.3">
      <c r="A153" s="5" t="s">
        <v>361</v>
      </c>
      <c r="B153" s="2" t="s">
        <v>266</v>
      </c>
      <c r="C153" s="2" t="str">
        <f t="shared" si="2"/>
        <v>October</v>
      </c>
      <c r="D153" s="2" t="s">
        <v>2</v>
      </c>
      <c r="E153" s="2" t="s">
        <v>81</v>
      </c>
      <c r="F153" s="2" t="s">
        <v>82</v>
      </c>
      <c r="G153" s="2" t="s">
        <v>8</v>
      </c>
      <c r="H153" s="2" t="s">
        <v>133</v>
      </c>
      <c r="I153" s="2" t="s">
        <v>133</v>
      </c>
      <c r="J153" s="2" t="s">
        <v>13</v>
      </c>
      <c r="K153" s="2" t="s">
        <v>21</v>
      </c>
      <c r="L153" s="2">
        <v>6</v>
      </c>
      <c r="M153" s="2">
        <v>35688</v>
      </c>
      <c r="N153" s="2">
        <v>15</v>
      </c>
      <c r="O153" s="2">
        <v>182008.8</v>
      </c>
      <c r="P153" s="6">
        <v>46609.42</v>
      </c>
    </row>
    <row r="154" spans="1:16" x14ac:dyDescent="0.3">
      <c r="A154" s="5" t="s">
        <v>362</v>
      </c>
      <c r="B154" s="2" t="s">
        <v>363</v>
      </c>
      <c r="C154" s="2" t="str">
        <f t="shared" si="2"/>
        <v>October</v>
      </c>
      <c r="D154" s="2" t="s">
        <v>4</v>
      </c>
      <c r="E154" s="2" t="s">
        <v>62</v>
      </c>
      <c r="F154" s="2" t="s">
        <v>63</v>
      </c>
      <c r="G154" s="2" t="s">
        <v>8</v>
      </c>
      <c r="H154" s="2" t="s">
        <v>64</v>
      </c>
      <c r="I154" s="2" t="s">
        <v>64</v>
      </c>
      <c r="J154" s="2" t="s">
        <v>13</v>
      </c>
      <c r="K154" s="2" t="s">
        <v>21</v>
      </c>
      <c r="L154" s="2">
        <v>4</v>
      </c>
      <c r="M154" s="2">
        <v>10608</v>
      </c>
      <c r="N154" s="2">
        <v>20</v>
      </c>
      <c r="O154" s="2">
        <v>33945.599999999999</v>
      </c>
      <c r="P154" s="6">
        <v>9213.6200000000008</v>
      </c>
    </row>
    <row r="155" spans="1:16" x14ac:dyDescent="0.3">
      <c r="A155" s="5" t="s">
        <v>364</v>
      </c>
      <c r="B155" s="2" t="s">
        <v>365</v>
      </c>
      <c r="C155" s="2" t="str">
        <f t="shared" si="2"/>
        <v>February</v>
      </c>
      <c r="D155" s="2" t="s">
        <v>2</v>
      </c>
      <c r="E155" s="2" t="s">
        <v>81</v>
      </c>
      <c r="F155" s="2" t="s">
        <v>82</v>
      </c>
      <c r="G155" s="2" t="s">
        <v>8</v>
      </c>
      <c r="H155" s="2" t="s">
        <v>64</v>
      </c>
      <c r="I155" s="2" t="s">
        <v>64</v>
      </c>
      <c r="J155" s="2" t="s">
        <v>17</v>
      </c>
      <c r="K155" s="2" t="s">
        <v>22</v>
      </c>
      <c r="L155" s="2">
        <v>5</v>
      </c>
      <c r="M155" s="2">
        <v>42962</v>
      </c>
      <c r="N155" s="2">
        <v>20</v>
      </c>
      <c r="O155" s="2">
        <v>171848</v>
      </c>
      <c r="P155" s="6">
        <v>30316.31</v>
      </c>
    </row>
    <row r="156" spans="1:16" x14ac:dyDescent="0.3">
      <c r="A156" s="5" t="s">
        <v>366</v>
      </c>
      <c r="B156" s="2" t="s">
        <v>204</v>
      </c>
      <c r="C156" s="2" t="str">
        <f t="shared" si="2"/>
        <v>October</v>
      </c>
      <c r="D156" s="2" t="s">
        <v>5</v>
      </c>
      <c r="E156" s="2" t="s">
        <v>57</v>
      </c>
      <c r="F156" s="2" t="s">
        <v>58</v>
      </c>
      <c r="G156" s="2" t="s">
        <v>9</v>
      </c>
      <c r="H156" s="2" t="s">
        <v>90</v>
      </c>
      <c r="I156" s="2" t="s">
        <v>90</v>
      </c>
      <c r="J156" s="2" t="s">
        <v>12</v>
      </c>
      <c r="K156" s="2" t="s">
        <v>21</v>
      </c>
      <c r="L156" s="2">
        <v>7</v>
      </c>
      <c r="M156" s="2">
        <v>23336</v>
      </c>
      <c r="N156" s="2">
        <v>10</v>
      </c>
      <c r="O156" s="2">
        <v>147016.79999999999</v>
      </c>
      <c r="P156" s="6">
        <v>29776.74</v>
      </c>
    </row>
    <row r="157" spans="1:16" x14ac:dyDescent="0.3">
      <c r="A157" s="5" t="s">
        <v>367</v>
      </c>
      <c r="B157" s="2" t="s">
        <v>368</v>
      </c>
      <c r="C157" s="2" t="str">
        <f t="shared" si="2"/>
        <v>July</v>
      </c>
      <c r="D157" s="2" t="s">
        <v>3</v>
      </c>
      <c r="E157" s="2" t="s">
        <v>117</v>
      </c>
      <c r="F157" s="2" t="s">
        <v>117</v>
      </c>
      <c r="G157" s="2" t="s">
        <v>8</v>
      </c>
      <c r="H157" s="2" t="s">
        <v>93</v>
      </c>
      <c r="I157" s="2" t="s">
        <v>93</v>
      </c>
      <c r="J157" s="2" t="s">
        <v>17</v>
      </c>
      <c r="K157" s="2" t="s">
        <v>22</v>
      </c>
      <c r="L157" s="2">
        <v>2</v>
      </c>
      <c r="M157" s="2">
        <v>17569</v>
      </c>
      <c r="N157" s="2">
        <v>10</v>
      </c>
      <c r="O157" s="2">
        <v>31624.2</v>
      </c>
      <c r="P157" s="6">
        <v>9120.59</v>
      </c>
    </row>
    <row r="158" spans="1:16" x14ac:dyDescent="0.3">
      <c r="A158" s="5" t="s">
        <v>369</v>
      </c>
      <c r="B158" s="2" t="s">
        <v>334</v>
      </c>
      <c r="C158" s="2" t="str">
        <f t="shared" si="2"/>
        <v>November</v>
      </c>
      <c r="D158" s="2" t="s">
        <v>5</v>
      </c>
      <c r="E158" s="2" t="s">
        <v>57</v>
      </c>
      <c r="F158" s="2" t="s">
        <v>58</v>
      </c>
      <c r="G158" s="2" t="s">
        <v>9</v>
      </c>
      <c r="H158" s="2" t="s">
        <v>72</v>
      </c>
      <c r="I158" s="2" t="s">
        <v>72</v>
      </c>
      <c r="J158" s="2" t="s">
        <v>14</v>
      </c>
      <c r="K158" s="2" t="s">
        <v>22</v>
      </c>
      <c r="L158" s="2">
        <v>5</v>
      </c>
      <c r="M158" s="2">
        <v>41141</v>
      </c>
      <c r="N158" s="2">
        <v>10</v>
      </c>
      <c r="O158" s="2">
        <v>185134.5</v>
      </c>
      <c r="P158" s="6">
        <v>27995.01</v>
      </c>
    </row>
    <row r="159" spans="1:16" x14ac:dyDescent="0.3">
      <c r="A159" s="5" t="s">
        <v>370</v>
      </c>
      <c r="B159" s="2" t="s">
        <v>270</v>
      </c>
      <c r="C159" s="2" t="str">
        <f t="shared" si="2"/>
        <v>April</v>
      </c>
      <c r="D159" s="2" t="s">
        <v>5</v>
      </c>
      <c r="E159" s="2" t="s">
        <v>57</v>
      </c>
      <c r="F159" s="2" t="s">
        <v>58</v>
      </c>
      <c r="G159" s="2" t="s">
        <v>9</v>
      </c>
      <c r="H159" s="2" t="s">
        <v>59</v>
      </c>
      <c r="I159" s="2" t="s">
        <v>59</v>
      </c>
      <c r="J159" s="2" t="s">
        <v>16</v>
      </c>
      <c r="K159" s="2" t="s">
        <v>22</v>
      </c>
      <c r="L159" s="2">
        <v>4</v>
      </c>
      <c r="M159" s="2">
        <v>40417</v>
      </c>
      <c r="N159" s="2">
        <v>0</v>
      </c>
      <c r="O159" s="2">
        <v>161668</v>
      </c>
      <c r="P159" s="6">
        <v>48031.22</v>
      </c>
    </row>
    <row r="160" spans="1:16" x14ac:dyDescent="0.3">
      <c r="A160" s="5" t="s">
        <v>371</v>
      </c>
      <c r="B160" s="2" t="s">
        <v>232</v>
      </c>
      <c r="C160" s="2" t="str">
        <f t="shared" si="2"/>
        <v>December</v>
      </c>
      <c r="D160" s="2" t="s">
        <v>4</v>
      </c>
      <c r="E160" s="2" t="s">
        <v>67</v>
      </c>
      <c r="F160" s="2" t="s">
        <v>68</v>
      </c>
      <c r="G160" s="2" t="s">
        <v>10</v>
      </c>
      <c r="H160" s="2" t="s">
        <v>83</v>
      </c>
      <c r="I160" s="2" t="s">
        <v>83</v>
      </c>
      <c r="J160" s="2" t="s">
        <v>16</v>
      </c>
      <c r="K160" s="2" t="s">
        <v>21</v>
      </c>
      <c r="L160" s="2">
        <v>1</v>
      </c>
      <c r="M160" s="2">
        <v>13145</v>
      </c>
      <c r="N160" s="2">
        <v>5</v>
      </c>
      <c r="O160" s="2">
        <v>12487.75</v>
      </c>
      <c r="P160" s="6">
        <v>2149.7399999999998</v>
      </c>
    </row>
    <row r="161" spans="1:16" x14ac:dyDescent="0.3">
      <c r="A161" s="5" t="s">
        <v>372</v>
      </c>
      <c r="B161" s="2" t="s">
        <v>373</v>
      </c>
      <c r="C161" s="2" t="str">
        <f t="shared" si="2"/>
        <v>May</v>
      </c>
      <c r="D161" s="2" t="s">
        <v>2</v>
      </c>
      <c r="E161" s="2" t="s">
        <v>81</v>
      </c>
      <c r="F161" s="2" t="s">
        <v>82</v>
      </c>
      <c r="G161" s="2" t="s">
        <v>10</v>
      </c>
      <c r="H161" s="2" t="s">
        <v>54</v>
      </c>
      <c r="I161" s="2" t="s">
        <v>54</v>
      </c>
      <c r="J161" s="2" t="s">
        <v>12</v>
      </c>
      <c r="K161" s="2" t="s">
        <v>21</v>
      </c>
      <c r="L161" s="2">
        <v>6</v>
      </c>
      <c r="M161" s="2">
        <v>20828</v>
      </c>
      <c r="N161" s="2">
        <v>20</v>
      </c>
      <c r="O161" s="2">
        <v>99974.399999999994</v>
      </c>
      <c r="P161" s="6">
        <v>20538.150000000001</v>
      </c>
    </row>
    <row r="162" spans="1:16" x14ac:dyDescent="0.3">
      <c r="A162" s="5" t="s">
        <v>374</v>
      </c>
      <c r="B162" s="2" t="s">
        <v>375</v>
      </c>
      <c r="C162" s="2" t="str">
        <f t="shared" si="2"/>
        <v>February</v>
      </c>
      <c r="D162" s="2" t="s">
        <v>5</v>
      </c>
      <c r="E162" s="2" t="s">
        <v>52</v>
      </c>
      <c r="F162" s="2" t="s">
        <v>53</v>
      </c>
      <c r="G162" s="2" t="s">
        <v>10</v>
      </c>
      <c r="H162" s="2" t="s">
        <v>100</v>
      </c>
      <c r="I162" s="2" t="s">
        <v>100</v>
      </c>
      <c r="J162" s="2" t="s">
        <v>16</v>
      </c>
      <c r="K162" s="2" t="s">
        <v>21</v>
      </c>
      <c r="L162" s="2">
        <v>2</v>
      </c>
      <c r="M162" s="2">
        <v>7247</v>
      </c>
      <c r="N162" s="2">
        <v>5</v>
      </c>
      <c r="O162" s="2">
        <v>13769.3</v>
      </c>
      <c r="P162" s="6">
        <v>3337.16</v>
      </c>
    </row>
    <row r="163" spans="1:16" x14ac:dyDescent="0.3">
      <c r="A163" s="5" t="s">
        <v>376</v>
      </c>
      <c r="B163" s="2" t="s">
        <v>377</v>
      </c>
      <c r="C163" s="2" t="str">
        <f t="shared" si="2"/>
        <v>December</v>
      </c>
      <c r="D163" s="2" t="s">
        <v>4</v>
      </c>
      <c r="E163" s="2" t="s">
        <v>62</v>
      </c>
      <c r="F163" s="2" t="s">
        <v>63</v>
      </c>
      <c r="G163" s="2" t="s">
        <v>9</v>
      </c>
      <c r="H163" s="2" t="s">
        <v>90</v>
      </c>
      <c r="I163" s="2" t="s">
        <v>90</v>
      </c>
      <c r="J163" s="2" t="s">
        <v>19</v>
      </c>
      <c r="K163" s="2" t="s">
        <v>21</v>
      </c>
      <c r="L163" s="2">
        <v>5</v>
      </c>
      <c r="M163" s="2">
        <v>17897</v>
      </c>
      <c r="N163" s="2">
        <v>15</v>
      </c>
      <c r="O163" s="2">
        <v>76062.25</v>
      </c>
      <c r="P163" s="6">
        <v>4355.46</v>
      </c>
    </row>
    <row r="164" spans="1:16" x14ac:dyDescent="0.3">
      <c r="A164" s="5" t="s">
        <v>378</v>
      </c>
      <c r="B164" s="2" t="s">
        <v>379</v>
      </c>
      <c r="C164" s="2" t="str">
        <f t="shared" si="2"/>
        <v>March</v>
      </c>
      <c r="D164" s="2" t="s">
        <v>4</v>
      </c>
      <c r="E164" s="2" t="s">
        <v>62</v>
      </c>
      <c r="F164" s="2" t="s">
        <v>63</v>
      </c>
      <c r="G164" s="2" t="s">
        <v>10</v>
      </c>
      <c r="H164" s="2" t="s">
        <v>83</v>
      </c>
      <c r="I164" s="2" t="s">
        <v>83</v>
      </c>
      <c r="J164" s="2" t="s">
        <v>16</v>
      </c>
      <c r="K164" s="2" t="s">
        <v>21</v>
      </c>
      <c r="L164" s="2">
        <v>4</v>
      </c>
      <c r="M164" s="2">
        <v>5470</v>
      </c>
      <c r="N164" s="2">
        <v>15</v>
      </c>
      <c r="O164" s="2">
        <v>18598</v>
      </c>
      <c r="P164" s="6">
        <v>1649.65</v>
      </c>
    </row>
    <row r="165" spans="1:16" x14ac:dyDescent="0.3">
      <c r="A165" s="5" t="s">
        <v>380</v>
      </c>
      <c r="B165" s="2" t="s">
        <v>381</v>
      </c>
      <c r="C165" s="2" t="str">
        <f t="shared" si="2"/>
        <v>September</v>
      </c>
      <c r="D165" s="2" t="s">
        <v>3</v>
      </c>
      <c r="E165" s="2" t="s">
        <v>117</v>
      </c>
      <c r="F165" s="2" t="s">
        <v>117</v>
      </c>
      <c r="G165" s="2" t="s">
        <v>8</v>
      </c>
      <c r="H165" s="2" t="s">
        <v>133</v>
      </c>
      <c r="I165" s="2" t="s">
        <v>133</v>
      </c>
      <c r="J165" s="2" t="s">
        <v>14</v>
      </c>
      <c r="K165" s="2" t="s">
        <v>21</v>
      </c>
      <c r="L165" s="2">
        <v>7</v>
      </c>
      <c r="M165" s="2">
        <v>4090</v>
      </c>
      <c r="N165" s="2">
        <v>0</v>
      </c>
      <c r="O165" s="2">
        <v>28630</v>
      </c>
      <c r="P165" s="6">
        <v>3828.76</v>
      </c>
    </row>
    <row r="166" spans="1:16" x14ac:dyDescent="0.3">
      <c r="A166" s="5" t="s">
        <v>382</v>
      </c>
      <c r="B166" s="2" t="s">
        <v>383</v>
      </c>
      <c r="C166" s="2" t="str">
        <f t="shared" si="2"/>
        <v>January</v>
      </c>
      <c r="D166" s="2" t="s">
        <v>5</v>
      </c>
      <c r="E166" s="2" t="s">
        <v>57</v>
      </c>
      <c r="F166" s="2" t="s">
        <v>58</v>
      </c>
      <c r="G166" s="2" t="s">
        <v>8</v>
      </c>
      <c r="H166" s="2" t="s">
        <v>76</v>
      </c>
      <c r="I166" s="2" t="s">
        <v>76</v>
      </c>
      <c r="J166" s="2" t="s">
        <v>16</v>
      </c>
      <c r="K166" s="2" t="s">
        <v>22</v>
      </c>
      <c r="L166" s="2">
        <v>8</v>
      </c>
      <c r="M166" s="2">
        <v>20843</v>
      </c>
      <c r="N166" s="2">
        <v>10</v>
      </c>
      <c r="O166" s="2">
        <v>150069.6</v>
      </c>
      <c r="P166" s="6">
        <v>27940.83</v>
      </c>
    </row>
    <row r="167" spans="1:16" x14ac:dyDescent="0.3">
      <c r="A167" s="5" t="s">
        <v>384</v>
      </c>
      <c r="B167" s="2" t="s">
        <v>385</v>
      </c>
      <c r="C167" s="2" t="str">
        <f t="shared" si="2"/>
        <v>January</v>
      </c>
      <c r="D167" s="2" t="s">
        <v>4</v>
      </c>
      <c r="E167" s="2" t="s">
        <v>67</v>
      </c>
      <c r="F167" s="2" t="s">
        <v>68</v>
      </c>
      <c r="G167" s="2" t="s">
        <v>9</v>
      </c>
      <c r="H167" s="2" t="s">
        <v>90</v>
      </c>
      <c r="I167" s="2" t="s">
        <v>90</v>
      </c>
      <c r="J167" s="2" t="s">
        <v>19</v>
      </c>
      <c r="K167" s="2" t="s">
        <v>21</v>
      </c>
      <c r="L167" s="2">
        <v>8</v>
      </c>
      <c r="M167" s="2">
        <v>19971</v>
      </c>
      <c r="N167" s="2">
        <v>10</v>
      </c>
      <c r="O167" s="2">
        <v>143791.20000000001</v>
      </c>
      <c r="P167" s="6">
        <v>19855.11</v>
      </c>
    </row>
    <row r="168" spans="1:16" x14ac:dyDescent="0.3">
      <c r="A168" s="5" t="s">
        <v>386</v>
      </c>
      <c r="B168" s="2" t="s">
        <v>387</v>
      </c>
      <c r="C168" s="2" t="str">
        <f t="shared" si="2"/>
        <v>June</v>
      </c>
      <c r="D168" s="2" t="s">
        <v>2</v>
      </c>
      <c r="E168" s="2" t="s">
        <v>103</v>
      </c>
      <c r="F168" s="2" t="s">
        <v>104</v>
      </c>
      <c r="G168" s="2" t="s">
        <v>10</v>
      </c>
      <c r="H168" s="2" t="s">
        <v>69</v>
      </c>
      <c r="I168" s="2" t="s">
        <v>69</v>
      </c>
      <c r="J168" s="2" t="s">
        <v>18</v>
      </c>
      <c r="K168" s="2" t="s">
        <v>22</v>
      </c>
      <c r="L168" s="2">
        <v>8</v>
      </c>
      <c r="M168" s="2">
        <v>39493</v>
      </c>
      <c r="N168" s="2">
        <v>20</v>
      </c>
      <c r="O168" s="2">
        <v>252755.20000000001</v>
      </c>
      <c r="P168" s="6">
        <v>29608.22</v>
      </c>
    </row>
    <row r="169" spans="1:16" x14ac:dyDescent="0.3">
      <c r="A169" s="5" t="s">
        <v>388</v>
      </c>
      <c r="B169" s="2" t="s">
        <v>389</v>
      </c>
      <c r="C169" s="2" t="str">
        <f t="shared" si="2"/>
        <v>December</v>
      </c>
      <c r="D169" s="2" t="s">
        <v>2</v>
      </c>
      <c r="E169" s="2" t="s">
        <v>103</v>
      </c>
      <c r="F169" s="2" t="s">
        <v>104</v>
      </c>
      <c r="G169" s="2" t="s">
        <v>10</v>
      </c>
      <c r="H169" s="2" t="s">
        <v>69</v>
      </c>
      <c r="I169" s="2" t="s">
        <v>69</v>
      </c>
      <c r="J169" s="2" t="s">
        <v>16</v>
      </c>
      <c r="K169" s="2" t="s">
        <v>21</v>
      </c>
      <c r="L169" s="2">
        <v>8</v>
      </c>
      <c r="M169" s="2">
        <v>18498</v>
      </c>
      <c r="N169" s="2">
        <v>5</v>
      </c>
      <c r="O169" s="2">
        <v>140584.79999999999</v>
      </c>
      <c r="P169" s="6">
        <v>20854.79</v>
      </c>
    </row>
    <row r="170" spans="1:16" x14ac:dyDescent="0.3">
      <c r="A170" s="5" t="s">
        <v>390</v>
      </c>
      <c r="B170" s="2" t="s">
        <v>391</v>
      </c>
      <c r="C170" s="2" t="str">
        <f t="shared" si="2"/>
        <v>March</v>
      </c>
      <c r="D170" s="2" t="s">
        <v>2</v>
      </c>
      <c r="E170" s="2" t="s">
        <v>103</v>
      </c>
      <c r="F170" s="2" t="s">
        <v>104</v>
      </c>
      <c r="G170" s="2" t="s">
        <v>9</v>
      </c>
      <c r="H170" s="2" t="s">
        <v>90</v>
      </c>
      <c r="I170" s="2" t="s">
        <v>90</v>
      </c>
      <c r="J170" s="2" t="s">
        <v>19</v>
      </c>
      <c r="K170" s="2" t="s">
        <v>22</v>
      </c>
      <c r="L170" s="2">
        <v>9</v>
      </c>
      <c r="M170" s="2">
        <v>42306</v>
      </c>
      <c r="N170" s="2">
        <v>15</v>
      </c>
      <c r="O170" s="2">
        <v>323640.90000000002</v>
      </c>
      <c r="P170" s="6">
        <v>21692.65</v>
      </c>
    </row>
    <row r="171" spans="1:16" x14ac:dyDescent="0.3">
      <c r="A171" s="5" t="s">
        <v>392</v>
      </c>
      <c r="B171" s="2" t="s">
        <v>393</v>
      </c>
      <c r="C171" s="2" t="str">
        <f t="shared" si="2"/>
        <v>August</v>
      </c>
      <c r="D171" s="2" t="s">
        <v>4</v>
      </c>
      <c r="E171" s="2" t="s">
        <v>67</v>
      </c>
      <c r="F171" s="2" t="s">
        <v>68</v>
      </c>
      <c r="G171" s="2" t="s">
        <v>10</v>
      </c>
      <c r="H171" s="2" t="s">
        <v>100</v>
      </c>
      <c r="I171" s="2" t="s">
        <v>100</v>
      </c>
      <c r="J171" s="2" t="s">
        <v>13</v>
      </c>
      <c r="K171" s="2" t="s">
        <v>21</v>
      </c>
      <c r="L171" s="2">
        <v>3</v>
      </c>
      <c r="M171" s="2">
        <v>13338</v>
      </c>
      <c r="N171" s="2">
        <v>10</v>
      </c>
      <c r="O171" s="2">
        <v>36012.6</v>
      </c>
      <c r="P171" s="6">
        <v>8686.9599999999991</v>
      </c>
    </row>
    <row r="172" spans="1:16" x14ac:dyDescent="0.3">
      <c r="A172" s="5" t="s">
        <v>394</v>
      </c>
      <c r="B172" s="2" t="s">
        <v>395</v>
      </c>
      <c r="C172" s="2" t="str">
        <f t="shared" si="2"/>
        <v>January</v>
      </c>
      <c r="D172" s="2" t="s">
        <v>5</v>
      </c>
      <c r="E172" s="2" t="s">
        <v>57</v>
      </c>
      <c r="F172" s="2" t="s">
        <v>58</v>
      </c>
      <c r="G172" s="2" t="s">
        <v>9</v>
      </c>
      <c r="H172" s="2" t="s">
        <v>90</v>
      </c>
      <c r="I172" s="2" t="s">
        <v>90</v>
      </c>
      <c r="J172" s="2" t="s">
        <v>14</v>
      </c>
      <c r="K172" s="2" t="s">
        <v>22</v>
      </c>
      <c r="L172" s="2">
        <v>9</v>
      </c>
      <c r="M172" s="2">
        <v>20928</v>
      </c>
      <c r="N172" s="2">
        <v>15</v>
      </c>
      <c r="O172" s="2">
        <v>160099.20000000001</v>
      </c>
      <c r="P172" s="6">
        <v>42824.68</v>
      </c>
    </row>
    <row r="173" spans="1:16" x14ac:dyDescent="0.3">
      <c r="A173" s="5" t="s">
        <v>396</v>
      </c>
      <c r="B173" s="2" t="s">
        <v>397</v>
      </c>
      <c r="C173" s="2" t="str">
        <f t="shared" si="2"/>
        <v>January</v>
      </c>
      <c r="D173" s="2" t="s">
        <v>5</v>
      </c>
      <c r="E173" s="2" t="s">
        <v>57</v>
      </c>
      <c r="F173" s="2" t="s">
        <v>58</v>
      </c>
      <c r="G173" s="2" t="s">
        <v>8</v>
      </c>
      <c r="H173" s="2" t="s">
        <v>76</v>
      </c>
      <c r="I173" s="2" t="s">
        <v>76</v>
      </c>
      <c r="J173" s="2" t="s">
        <v>14</v>
      </c>
      <c r="K173" s="2" t="s">
        <v>21</v>
      </c>
      <c r="L173" s="2">
        <v>3</v>
      </c>
      <c r="M173" s="2">
        <v>38436</v>
      </c>
      <c r="N173" s="2">
        <v>5</v>
      </c>
      <c r="O173" s="2">
        <v>109542.6</v>
      </c>
      <c r="P173" s="6">
        <v>11798.51</v>
      </c>
    </row>
    <row r="174" spans="1:16" x14ac:dyDescent="0.3">
      <c r="A174" s="5" t="s">
        <v>398</v>
      </c>
      <c r="B174" s="2" t="s">
        <v>399</v>
      </c>
      <c r="C174" s="2" t="str">
        <f t="shared" si="2"/>
        <v>April</v>
      </c>
      <c r="D174" s="2" t="s">
        <v>3</v>
      </c>
      <c r="E174" s="2" t="s">
        <v>75</v>
      </c>
      <c r="F174" s="2" t="s">
        <v>75</v>
      </c>
      <c r="G174" s="2" t="s">
        <v>10</v>
      </c>
      <c r="H174" s="2" t="s">
        <v>54</v>
      </c>
      <c r="I174" s="2" t="s">
        <v>54</v>
      </c>
      <c r="J174" s="2" t="s">
        <v>16</v>
      </c>
      <c r="K174" s="2" t="s">
        <v>22</v>
      </c>
      <c r="L174" s="2">
        <v>10</v>
      </c>
      <c r="M174" s="2">
        <v>42322</v>
      </c>
      <c r="N174" s="2">
        <v>15</v>
      </c>
      <c r="O174" s="2">
        <v>359737</v>
      </c>
      <c r="P174" s="6">
        <v>53503.35</v>
      </c>
    </row>
    <row r="175" spans="1:16" x14ac:dyDescent="0.3">
      <c r="A175" s="5" t="s">
        <v>400</v>
      </c>
      <c r="B175" s="2" t="s">
        <v>121</v>
      </c>
      <c r="C175" s="2" t="str">
        <f t="shared" si="2"/>
        <v>March</v>
      </c>
      <c r="D175" s="2" t="s">
        <v>5</v>
      </c>
      <c r="E175" s="2" t="s">
        <v>52</v>
      </c>
      <c r="F175" s="2" t="s">
        <v>53</v>
      </c>
      <c r="G175" s="2" t="s">
        <v>10</v>
      </c>
      <c r="H175" s="2" t="s">
        <v>83</v>
      </c>
      <c r="I175" s="2" t="s">
        <v>83</v>
      </c>
      <c r="J175" s="2" t="s">
        <v>15</v>
      </c>
      <c r="K175" s="2" t="s">
        <v>22</v>
      </c>
      <c r="L175" s="2">
        <v>5</v>
      </c>
      <c r="M175" s="2">
        <v>10062</v>
      </c>
      <c r="N175" s="2">
        <v>20</v>
      </c>
      <c r="O175" s="2">
        <v>40248</v>
      </c>
      <c r="P175" s="6">
        <v>7057.42</v>
      </c>
    </row>
    <row r="176" spans="1:16" x14ac:dyDescent="0.3">
      <c r="A176" s="5" t="s">
        <v>401</v>
      </c>
      <c r="B176" s="2" t="s">
        <v>183</v>
      </c>
      <c r="C176" s="2" t="str">
        <f t="shared" si="2"/>
        <v>March</v>
      </c>
      <c r="D176" s="2" t="s">
        <v>5</v>
      </c>
      <c r="E176" s="2" t="s">
        <v>57</v>
      </c>
      <c r="F176" s="2" t="s">
        <v>58</v>
      </c>
      <c r="G176" s="2" t="s">
        <v>9</v>
      </c>
      <c r="H176" s="2" t="s">
        <v>90</v>
      </c>
      <c r="I176" s="2" t="s">
        <v>90</v>
      </c>
      <c r="J176" s="2" t="s">
        <v>17</v>
      </c>
      <c r="K176" s="2" t="s">
        <v>22</v>
      </c>
      <c r="L176" s="2">
        <v>2</v>
      </c>
      <c r="M176" s="2">
        <v>40443</v>
      </c>
      <c r="N176" s="2">
        <v>15</v>
      </c>
      <c r="O176" s="2">
        <v>68753.100000000006</v>
      </c>
      <c r="P176" s="6">
        <v>14529.59</v>
      </c>
    </row>
    <row r="177" spans="1:16" x14ac:dyDescent="0.3">
      <c r="A177" s="5" t="s">
        <v>402</v>
      </c>
      <c r="B177" s="2" t="s">
        <v>403</v>
      </c>
      <c r="C177" s="2" t="str">
        <f t="shared" si="2"/>
        <v>August</v>
      </c>
      <c r="D177" s="2" t="s">
        <v>2</v>
      </c>
      <c r="E177" s="2" t="s">
        <v>103</v>
      </c>
      <c r="F177" s="2" t="s">
        <v>104</v>
      </c>
      <c r="G177" s="2" t="s">
        <v>9</v>
      </c>
      <c r="H177" s="2" t="s">
        <v>72</v>
      </c>
      <c r="I177" s="2" t="s">
        <v>72</v>
      </c>
      <c r="J177" s="2" t="s">
        <v>17</v>
      </c>
      <c r="K177" s="2" t="s">
        <v>21</v>
      </c>
      <c r="L177" s="2">
        <v>4</v>
      </c>
      <c r="M177" s="2">
        <v>21677</v>
      </c>
      <c r="N177" s="2">
        <v>20</v>
      </c>
      <c r="O177" s="2">
        <v>69366.399999999994</v>
      </c>
      <c r="P177" s="6">
        <v>20319.97</v>
      </c>
    </row>
    <row r="178" spans="1:16" x14ac:dyDescent="0.3">
      <c r="A178" s="5" t="s">
        <v>404</v>
      </c>
      <c r="B178" s="2" t="s">
        <v>405</v>
      </c>
      <c r="C178" s="2" t="str">
        <f t="shared" si="2"/>
        <v>January</v>
      </c>
      <c r="D178" s="2" t="s">
        <v>3</v>
      </c>
      <c r="E178" s="2" t="s">
        <v>75</v>
      </c>
      <c r="F178" s="2" t="s">
        <v>75</v>
      </c>
      <c r="G178" s="2" t="s">
        <v>10</v>
      </c>
      <c r="H178" s="2" t="s">
        <v>83</v>
      </c>
      <c r="I178" s="2" t="s">
        <v>83</v>
      </c>
      <c r="J178" s="2" t="s">
        <v>15</v>
      </c>
      <c r="K178" s="2" t="s">
        <v>21</v>
      </c>
      <c r="L178" s="2">
        <v>2</v>
      </c>
      <c r="M178" s="2">
        <v>37572</v>
      </c>
      <c r="N178" s="2">
        <v>5</v>
      </c>
      <c r="O178" s="2">
        <v>71386.8</v>
      </c>
      <c r="P178" s="6">
        <v>8232.51</v>
      </c>
    </row>
    <row r="179" spans="1:16" x14ac:dyDescent="0.3">
      <c r="A179" s="5" t="s">
        <v>406</v>
      </c>
      <c r="B179" s="2" t="s">
        <v>87</v>
      </c>
      <c r="C179" s="2" t="str">
        <f t="shared" si="2"/>
        <v>April</v>
      </c>
      <c r="D179" s="2" t="s">
        <v>3</v>
      </c>
      <c r="E179" s="2" t="s">
        <v>75</v>
      </c>
      <c r="F179" s="2" t="s">
        <v>75</v>
      </c>
      <c r="G179" s="2" t="s">
        <v>8</v>
      </c>
      <c r="H179" s="2" t="s">
        <v>93</v>
      </c>
      <c r="I179" s="2" t="s">
        <v>93</v>
      </c>
      <c r="J179" s="2" t="s">
        <v>14</v>
      </c>
      <c r="K179" s="2" t="s">
        <v>21</v>
      </c>
      <c r="L179" s="2">
        <v>2</v>
      </c>
      <c r="M179" s="2">
        <v>26410</v>
      </c>
      <c r="N179" s="2">
        <v>5</v>
      </c>
      <c r="O179" s="2">
        <v>50179</v>
      </c>
      <c r="P179" s="6">
        <v>3609.9</v>
      </c>
    </row>
    <row r="180" spans="1:16" x14ac:dyDescent="0.3">
      <c r="A180" s="5" t="s">
        <v>407</v>
      </c>
      <c r="B180" s="2" t="s">
        <v>408</v>
      </c>
      <c r="C180" s="2" t="str">
        <f t="shared" si="2"/>
        <v>December</v>
      </c>
      <c r="D180" s="2" t="s">
        <v>3</v>
      </c>
      <c r="E180" s="2" t="s">
        <v>117</v>
      </c>
      <c r="F180" s="2" t="s">
        <v>117</v>
      </c>
      <c r="G180" s="2" t="s">
        <v>9</v>
      </c>
      <c r="H180" s="2" t="s">
        <v>59</v>
      </c>
      <c r="I180" s="2" t="s">
        <v>59</v>
      </c>
      <c r="J180" s="2" t="s">
        <v>17</v>
      </c>
      <c r="K180" s="2" t="s">
        <v>21</v>
      </c>
      <c r="L180" s="2">
        <v>3</v>
      </c>
      <c r="M180" s="2">
        <v>8591</v>
      </c>
      <c r="N180" s="2">
        <v>15</v>
      </c>
      <c r="O180" s="2">
        <v>21907.05</v>
      </c>
      <c r="P180" s="6">
        <v>1970.7</v>
      </c>
    </row>
    <row r="181" spans="1:16" x14ac:dyDescent="0.3">
      <c r="A181" s="5" t="s">
        <v>409</v>
      </c>
      <c r="B181" s="2" t="s">
        <v>410</v>
      </c>
      <c r="C181" s="2" t="str">
        <f t="shared" si="2"/>
        <v>February</v>
      </c>
      <c r="D181" s="2" t="s">
        <v>5</v>
      </c>
      <c r="E181" s="2" t="s">
        <v>57</v>
      </c>
      <c r="F181" s="2" t="s">
        <v>58</v>
      </c>
      <c r="G181" s="2" t="s">
        <v>9</v>
      </c>
      <c r="H181" s="2" t="s">
        <v>72</v>
      </c>
      <c r="I181" s="2" t="s">
        <v>72</v>
      </c>
      <c r="J181" s="2" t="s">
        <v>19</v>
      </c>
      <c r="K181" s="2" t="s">
        <v>21</v>
      </c>
      <c r="L181" s="2">
        <v>5</v>
      </c>
      <c r="M181" s="2">
        <v>13511</v>
      </c>
      <c r="N181" s="2">
        <v>20</v>
      </c>
      <c r="O181" s="2">
        <v>54044</v>
      </c>
      <c r="P181" s="6">
        <v>11263.43</v>
      </c>
    </row>
    <row r="182" spans="1:16" x14ac:dyDescent="0.3">
      <c r="A182" s="5" t="s">
        <v>411</v>
      </c>
      <c r="B182" s="2" t="s">
        <v>156</v>
      </c>
      <c r="C182" s="2" t="str">
        <f t="shared" si="2"/>
        <v>December</v>
      </c>
      <c r="D182" s="2" t="s">
        <v>2</v>
      </c>
      <c r="E182" s="2" t="s">
        <v>103</v>
      </c>
      <c r="F182" s="2" t="s">
        <v>104</v>
      </c>
      <c r="G182" s="2" t="s">
        <v>8</v>
      </c>
      <c r="H182" s="2" t="s">
        <v>133</v>
      </c>
      <c r="I182" s="2" t="s">
        <v>133</v>
      </c>
      <c r="J182" s="2" t="s">
        <v>15</v>
      </c>
      <c r="K182" s="2" t="s">
        <v>21</v>
      </c>
      <c r="L182" s="2">
        <v>7</v>
      </c>
      <c r="M182" s="2">
        <v>48312</v>
      </c>
      <c r="N182" s="2">
        <v>5</v>
      </c>
      <c r="O182" s="2">
        <v>321274.8</v>
      </c>
      <c r="P182" s="6">
        <v>79408.52</v>
      </c>
    </row>
    <row r="183" spans="1:16" x14ac:dyDescent="0.3">
      <c r="A183" s="5" t="s">
        <v>412</v>
      </c>
      <c r="B183" s="2" t="s">
        <v>114</v>
      </c>
      <c r="C183" s="2" t="str">
        <f t="shared" si="2"/>
        <v>March</v>
      </c>
      <c r="D183" s="2" t="s">
        <v>4</v>
      </c>
      <c r="E183" s="2" t="s">
        <v>67</v>
      </c>
      <c r="F183" s="2" t="s">
        <v>68</v>
      </c>
      <c r="G183" s="2" t="s">
        <v>9</v>
      </c>
      <c r="H183" s="2" t="s">
        <v>90</v>
      </c>
      <c r="I183" s="2" t="s">
        <v>90</v>
      </c>
      <c r="J183" s="2" t="s">
        <v>12</v>
      </c>
      <c r="K183" s="2" t="s">
        <v>22</v>
      </c>
      <c r="L183" s="2">
        <v>2</v>
      </c>
      <c r="M183" s="2">
        <v>38987</v>
      </c>
      <c r="N183" s="2">
        <v>15</v>
      </c>
      <c r="O183" s="2">
        <v>66277.899999999994</v>
      </c>
      <c r="P183" s="6">
        <v>15830.84</v>
      </c>
    </row>
    <row r="184" spans="1:16" x14ac:dyDescent="0.3">
      <c r="A184" s="5" t="s">
        <v>413</v>
      </c>
      <c r="B184" s="2" t="s">
        <v>139</v>
      </c>
      <c r="C184" s="2" t="str">
        <f t="shared" si="2"/>
        <v>February</v>
      </c>
      <c r="D184" s="2" t="s">
        <v>5</v>
      </c>
      <c r="E184" s="2" t="s">
        <v>52</v>
      </c>
      <c r="F184" s="2" t="s">
        <v>53</v>
      </c>
      <c r="G184" s="2" t="s">
        <v>9</v>
      </c>
      <c r="H184" s="2" t="s">
        <v>72</v>
      </c>
      <c r="I184" s="2" t="s">
        <v>72</v>
      </c>
      <c r="J184" s="2" t="s">
        <v>15</v>
      </c>
      <c r="K184" s="2" t="s">
        <v>21</v>
      </c>
      <c r="L184" s="2">
        <v>3</v>
      </c>
      <c r="M184" s="2">
        <v>21506</v>
      </c>
      <c r="N184" s="2">
        <v>5</v>
      </c>
      <c r="O184" s="2">
        <v>61292.1</v>
      </c>
      <c r="P184" s="6">
        <v>5672.11</v>
      </c>
    </row>
    <row r="185" spans="1:16" x14ac:dyDescent="0.3">
      <c r="A185" s="5" t="s">
        <v>414</v>
      </c>
      <c r="B185" s="2" t="s">
        <v>368</v>
      </c>
      <c r="C185" s="2" t="str">
        <f t="shared" si="2"/>
        <v>July</v>
      </c>
      <c r="D185" s="2" t="s">
        <v>5</v>
      </c>
      <c r="E185" s="2" t="s">
        <v>57</v>
      </c>
      <c r="F185" s="2" t="s">
        <v>58</v>
      </c>
      <c r="G185" s="2" t="s">
        <v>8</v>
      </c>
      <c r="H185" s="2" t="s">
        <v>133</v>
      </c>
      <c r="I185" s="2" t="s">
        <v>133</v>
      </c>
      <c r="J185" s="2" t="s">
        <v>14</v>
      </c>
      <c r="K185" s="2" t="s">
        <v>21</v>
      </c>
      <c r="L185" s="2">
        <v>10</v>
      </c>
      <c r="M185" s="2">
        <v>13016</v>
      </c>
      <c r="N185" s="2">
        <v>0</v>
      </c>
      <c r="O185" s="2">
        <v>130160</v>
      </c>
      <c r="P185" s="6">
        <v>12377.8</v>
      </c>
    </row>
    <row r="186" spans="1:16" x14ac:dyDescent="0.3">
      <c r="A186" s="5" t="s">
        <v>415</v>
      </c>
      <c r="B186" s="2" t="s">
        <v>395</v>
      </c>
      <c r="C186" s="2" t="str">
        <f t="shared" si="2"/>
        <v>January</v>
      </c>
      <c r="D186" s="2" t="s">
        <v>3</v>
      </c>
      <c r="E186" s="2" t="s">
        <v>117</v>
      </c>
      <c r="F186" s="2" t="s">
        <v>117</v>
      </c>
      <c r="G186" s="2" t="s">
        <v>10</v>
      </c>
      <c r="H186" s="2" t="s">
        <v>69</v>
      </c>
      <c r="I186" s="2" t="s">
        <v>69</v>
      </c>
      <c r="J186" s="2" t="s">
        <v>13</v>
      </c>
      <c r="K186" s="2" t="s">
        <v>22</v>
      </c>
      <c r="L186" s="2">
        <v>3</v>
      </c>
      <c r="M186" s="2">
        <v>49829</v>
      </c>
      <c r="N186" s="2">
        <v>0</v>
      </c>
      <c r="O186" s="2">
        <v>149487</v>
      </c>
      <c r="P186" s="6">
        <v>12244.54</v>
      </c>
    </row>
    <row r="187" spans="1:16" x14ac:dyDescent="0.3">
      <c r="A187" s="5" t="s">
        <v>416</v>
      </c>
      <c r="B187" s="2" t="s">
        <v>417</v>
      </c>
      <c r="C187" s="2" t="str">
        <f t="shared" si="2"/>
        <v>January</v>
      </c>
      <c r="D187" s="2" t="s">
        <v>5</v>
      </c>
      <c r="E187" s="2" t="s">
        <v>57</v>
      </c>
      <c r="F187" s="2" t="s">
        <v>58</v>
      </c>
      <c r="G187" s="2" t="s">
        <v>10</v>
      </c>
      <c r="H187" s="2" t="s">
        <v>100</v>
      </c>
      <c r="I187" s="2" t="s">
        <v>100</v>
      </c>
      <c r="J187" s="2" t="s">
        <v>16</v>
      </c>
      <c r="K187" s="2" t="s">
        <v>21</v>
      </c>
      <c r="L187" s="2">
        <v>2</v>
      </c>
      <c r="M187" s="2">
        <v>42217</v>
      </c>
      <c r="N187" s="2">
        <v>15</v>
      </c>
      <c r="O187" s="2">
        <v>71768.899999999994</v>
      </c>
      <c r="P187" s="6">
        <v>12733.94</v>
      </c>
    </row>
    <row r="188" spans="1:16" x14ac:dyDescent="0.3">
      <c r="A188" s="5" t="s">
        <v>418</v>
      </c>
      <c r="B188" s="2" t="s">
        <v>308</v>
      </c>
      <c r="C188" s="2" t="str">
        <f t="shared" si="2"/>
        <v>August</v>
      </c>
      <c r="D188" s="2" t="s">
        <v>3</v>
      </c>
      <c r="E188" s="2" t="s">
        <v>75</v>
      </c>
      <c r="F188" s="2" t="s">
        <v>75</v>
      </c>
      <c r="G188" s="2" t="s">
        <v>8</v>
      </c>
      <c r="H188" s="2" t="s">
        <v>76</v>
      </c>
      <c r="I188" s="2" t="s">
        <v>76</v>
      </c>
      <c r="J188" s="2" t="s">
        <v>15</v>
      </c>
      <c r="K188" s="2" t="s">
        <v>21</v>
      </c>
      <c r="L188" s="2">
        <v>7</v>
      </c>
      <c r="M188" s="2">
        <v>3361</v>
      </c>
      <c r="N188" s="2">
        <v>5</v>
      </c>
      <c r="O188" s="2">
        <v>22350.65</v>
      </c>
      <c r="P188" s="6">
        <v>4442.38</v>
      </c>
    </row>
    <row r="189" spans="1:16" x14ac:dyDescent="0.3">
      <c r="A189" s="5" t="s">
        <v>419</v>
      </c>
      <c r="B189" s="2" t="s">
        <v>420</v>
      </c>
      <c r="C189" s="2" t="str">
        <f t="shared" si="2"/>
        <v>September</v>
      </c>
      <c r="D189" s="2" t="s">
        <v>2</v>
      </c>
      <c r="E189" s="2" t="s">
        <v>81</v>
      </c>
      <c r="F189" s="2" t="s">
        <v>82</v>
      </c>
      <c r="G189" s="2" t="s">
        <v>8</v>
      </c>
      <c r="H189" s="2" t="s">
        <v>76</v>
      </c>
      <c r="I189" s="2" t="s">
        <v>76</v>
      </c>
      <c r="J189" s="2" t="s">
        <v>12</v>
      </c>
      <c r="K189" s="2" t="s">
        <v>22</v>
      </c>
      <c r="L189" s="2">
        <v>10</v>
      </c>
      <c r="M189" s="2">
        <v>16822</v>
      </c>
      <c r="N189" s="2">
        <v>5</v>
      </c>
      <c r="O189" s="2">
        <v>159809</v>
      </c>
      <c r="P189" s="6">
        <v>9322.0400000000009</v>
      </c>
    </row>
    <row r="190" spans="1:16" x14ac:dyDescent="0.3">
      <c r="A190" s="5" t="s">
        <v>421</v>
      </c>
      <c r="B190" s="2" t="s">
        <v>422</v>
      </c>
      <c r="C190" s="2" t="str">
        <f t="shared" si="2"/>
        <v>January</v>
      </c>
      <c r="D190" s="2" t="s">
        <v>3</v>
      </c>
      <c r="E190" s="2" t="s">
        <v>75</v>
      </c>
      <c r="F190" s="2" t="s">
        <v>75</v>
      </c>
      <c r="G190" s="2" t="s">
        <v>8</v>
      </c>
      <c r="H190" s="2" t="s">
        <v>64</v>
      </c>
      <c r="I190" s="2" t="s">
        <v>64</v>
      </c>
      <c r="J190" s="2" t="s">
        <v>13</v>
      </c>
      <c r="K190" s="2" t="s">
        <v>22</v>
      </c>
      <c r="L190" s="2">
        <v>2</v>
      </c>
      <c r="M190" s="2">
        <v>39080</v>
      </c>
      <c r="N190" s="2">
        <v>10</v>
      </c>
      <c r="O190" s="2">
        <v>70344</v>
      </c>
      <c r="P190" s="6">
        <v>12271.3</v>
      </c>
    </row>
    <row r="191" spans="1:16" x14ac:dyDescent="0.3">
      <c r="A191" s="5" t="s">
        <v>423</v>
      </c>
      <c r="B191" s="2" t="s">
        <v>424</v>
      </c>
      <c r="C191" s="2" t="str">
        <f t="shared" si="2"/>
        <v>February</v>
      </c>
      <c r="D191" s="2" t="s">
        <v>4</v>
      </c>
      <c r="E191" s="2" t="s">
        <v>62</v>
      </c>
      <c r="F191" s="2" t="s">
        <v>63</v>
      </c>
      <c r="G191" s="2" t="s">
        <v>10</v>
      </c>
      <c r="H191" s="2" t="s">
        <v>83</v>
      </c>
      <c r="I191" s="2" t="s">
        <v>83</v>
      </c>
      <c r="J191" s="2" t="s">
        <v>16</v>
      </c>
      <c r="K191" s="2" t="s">
        <v>21</v>
      </c>
      <c r="L191" s="2">
        <v>5</v>
      </c>
      <c r="M191" s="2">
        <v>42845</v>
      </c>
      <c r="N191" s="2">
        <v>15</v>
      </c>
      <c r="O191" s="2">
        <v>182091.25</v>
      </c>
      <c r="P191" s="6">
        <v>10645.12</v>
      </c>
    </row>
    <row r="192" spans="1:16" x14ac:dyDescent="0.3">
      <c r="A192" s="5" t="s">
        <v>425</v>
      </c>
      <c r="B192" s="2" t="s">
        <v>426</v>
      </c>
      <c r="C192" s="2" t="str">
        <f t="shared" si="2"/>
        <v>March</v>
      </c>
      <c r="D192" s="2" t="s">
        <v>5</v>
      </c>
      <c r="E192" s="2" t="s">
        <v>57</v>
      </c>
      <c r="F192" s="2" t="s">
        <v>58</v>
      </c>
      <c r="G192" s="2" t="s">
        <v>9</v>
      </c>
      <c r="H192" s="2" t="s">
        <v>90</v>
      </c>
      <c r="I192" s="2" t="s">
        <v>90</v>
      </c>
      <c r="J192" s="2" t="s">
        <v>12</v>
      </c>
      <c r="K192" s="2" t="s">
        <v>21</v>
      </c>
      <c r="L192" s="2">
        <v>2</v>
      </c>
      <c r="M192" s="2">
        <v>15515</v>
      </c>
      <c r="N192" s="2">
        <v>0</v>
      </c>
      <c r="O192" s="2">
        <v>31030</v>
      </c>
      <c r="P192" s="6">
        <v>8018.46</v>
      </c>
    </row>
    <row r="193" spans="1:16" x14ac:dyDescent="0.3">
      <c r="A193" s="5" t="s">
        <v>427</v>
      </c>
      <c r="B193" s="2" t="s">
        <v>428</v>
      </c>
      <c r="C193" s="2" t="str">
        <f t="shared" si="2"/>
        <v>November</v>
      </c>
      <c r="D193" s="2" t="s">
        <v>5</v>
      </c>
      <c r="E193" s="2" t="s">
        <v>57</v>
      </c>
      <c r="F193" s="2" t="s">
        <v>58</v>
      </c>
      <c r="G193" s="2" t="s">
        <v>10</v>
      </c>
      <c r="H193" s="2" t="s">
        <v>54</v>
      </c>
      <c r="I193" s="2" t="s">
        <v>54</v>
      </c>
      <c r="J193" s="2" t="s">
        <v>18</v>
      </c>
      <c r="K193" s="2" t="s">
        <v>21</v>
      </c>
      <c r="L193" s="2">
        <v>8</v>
      </c>
      <c r="M193" s="2">
        <v>9537</v>
      </c>
      <c r="N193" s="2">
        <v>15</v>
      </c>
      <c r="O193" s="2">
        <v>64851.6</v>
      </c>
      <c r="P193" s="6">
        <v>10455.25</v>
      </c>
    </row>
    <row r="194" spans="1:16" x14ac:dyDescent="0.3">
      <c r="A194" s="5" t="s">
        <v>429</v>
      </c>
      <c r="B194" s="2" t="s">
        <v>430</v>
      </c>
      <c r="C194" s="2" t="str">
        <f t="shared" si="2"/>
        <v>February</v>
      </c>
      <c r="D194" s="2" t="s">
        <v>5</v>
      </c>
      <c r="E194" s="2" t="s">
        <v>57</v>
      </c>
      <c r="F194" s="2" t="s">
        <v>58</v>
      </c>
      <c r="G194" s="2" t="s">
        <v>10</v>
      </c>
      <c r="H194" s="2" t="s">
        <v>54</v>
      </c>
      <c r="I194" s="2" t="s">
        <v>54</v>
      </c>
      <c r="J194" s="2" t="s">
        <v>17</v>
      </c>
      <c r="K194" s="2" t="s">
        <v>21</v>
      </c>
      <c r="L194" s="2">
        <v>1</v>
      </c>
      <c r="M194" s="2">
        <v>29271</v>
      </c>
      <c r="N194" s="2">
        <v>10</v>
      </c>
      <c r="O194" s="2">
        <v>26343.9</v>
      </c>
      <c r="P194" s="6">
        <v>5313.89</v>
      </c>
    </row>
    <row r="195" spans="1:16" x14ac:dyDescent="0.3">
      <c r="A195" s="5" t="s">
        <v>431</v>
      </c>
      <c r="B195" s="2" t="s">
        <v>208</v>
      </c>
      <c r="C195" s="2" t="str">
        <f t="shared" ref="C195:C258" si="3">TEXT(B195,"mmmm")</f>
        <v>January</v>
      </c>
      <c r="D195" s="2" t="s">
        <v>5</v>
      </c>
      <c r="E195" s="2" t="s">
        <v>52</v>
      </c>
      <c r="F195" s="2" t="s">
        <v>53</v>
      </c>
      <c r="G195" s="2" t="s">
        <v>8</v>
      </c>
      <c r="H195" s="2" t="s">
        <v>76</v>
      </c>
      <c r="I195" s="2" t="s">
        <v>76</v>
      </c>
      <c r="J195" s="2" t="s">
        <v>18</v>
      </c>
      <c r="K195" s="2" t="s">
        <v>22</v>
      </c>
      <c r="L195" s="2">
        <v>3</v>
      </c>
      <c r="M195" s="2">
        <v>5508</v>
      </c>
      <c r="N195" s="2">
        <v>10</v>
      </c>
      <c r="O195" s="2">
        <v>14871.6</v>
      </c>
      <c r="P195" s="6">
        <v>3742.61</v>
      </c>
    </row>
    <row r="196" spans="1:16" x14ac:dyDescent="0.3">
      <c r="A196" s="5" t="s">
        <v>432</v>
      </c>
      <c r="B196" s="2" t="s">
        <v>433</v>
      </c>
      <c r="C196" s="2" t="str">
        <f t="shared" si="3"/>
        <v>April</v>
      </c>
      <c r="D196" s="2" t="s">
        <v>4</v>
      </c>
      <c r="E196" s="2" t="s">
        <v>62</v>
      </c>
      <c r="F196" s="2" t="s">
        <v>63</v>
      </c>
      <c r="G196" s="2" t="s">
        <v>10</v>
      </c>
      <c r="H196" s="2" t="s">
        <v>100</v>
      </c>
      <c r="I196" s="2" t="s">
        <v>100</v>
      </c>
      <c r="J196" s="2" t="s">
        <v>16</v>
      </c>
      <c r="K196" s="2" t="s">
        <v>22</v>
      </c>
      <c r="L196" s="2">
        <v>2</v>
      </c>
      <c r="M196" s="2">
        <v>39592</v>
      </c>
      <c r="N196" s="2">
        <v>10</v>
      </c>
      <c r="O196" s="2">
        <v>71265.600000000006</v>
      </c>
      <c r="P196" s="6">
        <v>14910.18</v>
      </c>
    </row>
    <row r="197" spans="1:16" x14ac:dyDescent="0.3">
      <c r="A197" s="5" t="s">
        <v>434</v>
      </c>
      <c r="B197" s="2" t="s">
        <v>435</v>
      </c>
      <c r="C197" s="2" t="str">
        <f t="shared" si="3"/>
        <v>February</v>
      </c>
      <c r="D197" s="2" t="s">
        <v>5</v>
      </c>
      <c r="E197" s="2" t="s">
        <v>57</v>
      </c>
      <c r="F197" s="2" t="s">
        <v>58</v>
      </c>
      <c r="G197" s="2" t="s">
        <v>9</v>
      </c>
      <c r="H197" s="2" t="s">
        <v>72</v>
      </c>
      <c r="I197" s="2" t="s">
        <v>72</v>
      </c>
      <c r="J197" s="2" t="s">
        <v>19</v>
      </c>
      <c r="K197" s="2" t="s">
        <v>22</v>
      </c>
      <c r="L197" s="2">
        <v>5</v>
      </c>
      <c r="M197" s="2">
        <v>42414</v>
      </c>
      <c r="N197" s="2">
        <v>15</v>
      </c>
      <c r="O197" s="2">
        <v>180259.5</v>
      </c>
      <c r="P197" s="6">
        <v>17513.849999999999</v>
      </c>
    </row>
    <row r="198" spans="1:16" x14ac:dyDescent="0.3">
      <c r="A198" s="5" t="s">
        <v>436</v>
      </c>
      <c r="B198" s="2" t="s">
        <v>437</v>
      </c>
      <c r="C198" s="2" t="str">
        <f t="shared" si="3"/>
        <v>March</v>
      </c>
      <c r="D198" s="2" t="s">
        <v>5</v>
      </c>
      <c r="E198" s="2" t="s">
        <v>52</v>
      </c>
      <c r="F198" s="2" t="s">
        <v>53</v>
      </c>
      <c r="G198" s="2" t="s">
        <v>8</v>
      </c>
      <c r="H198" s="2" t="s">
        <v>64</v>
      </c>
      <c r="I198" s="2" t="s">
        <v>64</v>
      </c>
      <c r="J198" s="2" t="s">
        <v>12</v>
      </c>
      <c r="K198" s="2" t="s">
        <v>21</v>
      </c>
      <c r="L198" s="2">
        <v>7</v>
      </c>
      <c r="M198" s="2">
        <v>33250</v>
      </c>
      <c r="N198" s="2">
        <v>10</v>
      </c>
      <c r="O198" s="2">
        <v>209475</v>
      </c>
      <c r="P198" s="6">
        <v>54528.87</v>
      </c>
    </row>
    <row r="199" spans="1:16" x14ac:dyDescent="0.3">
      <c r="A199" s="5" t="s">
        <v>438</v>
      </c>
      <c r="B199" s="2" t="s">
        <v>424</v>
      </c>
      <c r="C199" s="2" t="str">
        <f t="shared" si="3"/>
        <v>February</v>
      </c>
      <c r="D199" s="2" t="s">
        <v>2</v>
      </c>
      <c r="E199" s="2" t="s">
        <v>103</v>
      </c>
      <c r="F199" s="2" t="s">
        <v>104</v>
      </c>
      <c r="G199" s="2" t="s">
        <v>9</v>
      </c>
      <c r="H199" s="2" t="s">
        <v>126</v>
      </c>
      <c r="I199" s="2" t="s">
        <v>126</v>
      </c>
      <c r="J199" s="2" t="s">
        <v>12</v>
      </c>
      <c r="K199" s="2" t="s">
        <v>21</v>
      </c>
      <c r="L199" s="2">
        <v>4</v>
      </c>
      <c r="M199" s="2">
        <v>8331</v>
      </c>
      <c r="N199" s="2">
        <v>0</v>
      </c>
      <c r="O199" s="2">
        <v>33324</v>
      </c>
      <c r="P199" s="6">
        <v>3090.46</v>
      </c>
    </row>
    <row r="200" spans="1:16" x14ac:dyDescent="0.3">
      <c r="A200" s="5" t="s">
        <v>439</v>
      </c>
      <c r="B200" s="2" t="s">
        <v>440</v>
      </c>
      <c r="C200" s="2" t="str">
        <f t="shared" si="3"/>
        <v>September</v>
      </c>
      <c r="D200" s="2" t="s">
        <v>4</v>
      </c>
      <c r="E200" s="2" t="s">
        <v>67</v>
      </c>
      <c r="F200" s="2" t="s">
        <v>68</v>
      </c>
      <c r="G200" s="2" t="s">
        <v>9</v>
      </c>
      <c r="H200" s="2" t="s">
        <v>59</v>
      </c>
      <c r="I200" s="2" t="s">
        <v>59</v>
      </c>
      <c r="J200" s="2" t="s">
        <v>18</v>
      </c>
      <c r="K200" s="2" t="s">
        <v>21</v>
      </c>
      <c r="L200" s="2">
        <v>7</v>
      </c>
      <c r="M200" s="2">
        <v>42617</v>
      </c>
      <c r="N200" s="2">
        <v>15</v>
      </c>
      <c r="O200" s="2">
        <v>253571.15</v>
      </c>
      <c r="P200" s="6">
        <v>44381.53</v>
      </c>
    </row>
    <row r="201" spans="1:16" x14ac:dyDescent="0.3">
      <c r="A201" s="5" t="s">
        <v>441</v>
      </c>
      <c r="B201" s="2" t="s">
        <v>442</v>
      </c>
      <c r="C201" s="2" t="str">
        <f t="shared" si="3"/>
        <v>August</v>
      </c>
      <c r="D201" s="2" t="s">
        <v>3</v>
      </c>
      <c r="E201" s="2" t="s">
        <v>117</v>
      </c>
      <c r="F201" s="2" t="s">
        <v>117</v>
      </c>
      <c r="G201" s="2" t="s">
        <v>10</v>
      </c>
      <c r="H201" s="2" t="s">
        <v>54</v>
      </c>
      <c r="I201" s="2" t="s">
        <v>54</v>
      </c>
      <c r="J201" s="2" t="s">
        <v>18</v>
      </c>
      <c r="K201" s="2" t="s">
        <v>21</v>
      </c>
      <c r="L201" s="2">
        <v>4</v>
      </c>
      <c r="M201" s="2">
        <v>48208</v>
      </c>
      <c r="N201" s="2">
        <v>5</v>
      </c>
      <c r="O201" s="2">
        <v>183190.39999999999</v>
      </c>
      <c r="P201" s="6">
        <v>37436.07</v>
      </c>
    </row>
    <row r="202" spans="1:16" x14ac:dyDescent="0.3">
      <c r="A202" s="5" t="s">
        <v>443</v>
      </c>
      <c r="B202" s="2" t="s">
        <v>444</v>
      </c>
      <c r="C202" s="2" t="str">
        <f t="shared" si="3"/>
        <v>March</v>
      </c>
      <c r="D202" s="2" t="s">
        <v>2</v>
      </c>
      <c r="E202" s="2" t="s">
        <v>103</v>
      </c>
      <c r="F202" s="2" t="s">
        <v>104</v>
      </c>
      <c r="G202" s="2" t="s">
        <v>10</v>
      </c>
      <c r="H202" s="2" t="s">
        <v>100</v>
      </c>
      <c r="I202" s="2" t="s">
        <v>100</v>
      </c>
      <c r="J202" s="2" t="s">
        <v>13</v>
      </c>
      <c r="K202" s="2" t="s">
        <v>22</v>
      </c>
      <c r="L202" s="2">
        <v>4</v>
      </c>
      <c r="M202" s="2">
        <v>8223</v>
      </c>
      <c r="N202" s="2">
        <v>5</v>
      </c>
      <c r="O202" s="2">
        <v>31247.4</v>
      </c>
      <c r="P202" s="6">
        <v>5948.79</v>
      </c>
    </row>
    <row r="203" spans="1:16" x14ac:dyDescent="0.3">
      <c r="A203" s="5" t="s">
        <v>445</v>
      </c>
      <c r="B203" s="2" t="s">
        <v>272</v>
      </c>
      <c r="C203" s="2" t="str">
        <f t="shared" si="3"/>
        <v>May</v>
      </c>
      <c r="D203" s="2" t="s">
        <v>2</v>
      </c>
      <c r="E203" s="2" t="s">
        <v>81</v>
      </c>
      <c r="F203" s="2" t="s">
        <v>82</v>
      </c>
      <c r="G203" s="2" t="s">
        <v>9</v>
      </c>
      <c r="H203" s="2" t="s">
        <v>59</v>
      </c>
      <c r="I203" s="2" t="s">
        <v>59</v>
      </c>
      <c r="J203" s="2" t="s">
        <v>14</v>
      </c>
      <c r="K203" s="2" t="s">
        <v>22</v>
      </c>
      <c r="L203" s="2">
        <v>10</v>
      </c>
      <c r="M203" s="2">
        <v>9863</v>
      </c>
      <c r="N203" s="2">
        <v>5</v>
      </c>
      <c r="O203" s="2">
        <v>93698.5</v>
      </c>
      <c r="P203" s="6">
        <v>7154.53</v>
      </c>
    </row>
    <row r="204" spans="1:16" x14ac:dyDescent="0.3">
      <c r="A204" s="5" t="s">
        <v>446</v>
      </c>
      <c r="B204" s="2" t="s">
        <v>447</v>
      </c>
      <c r="C204" s="2" t="str">
        <f t="shared" si="3"/>
        <v>September</v>
      </c>
      <c r="D204" s="2" t="s">
        <v>2</v>
      </c>
      <c r="E204" s="2" t="s">
        <v>81</v>
      </c>
      <c r="F204" s="2" t="s">
        <v>82</v>
      </c>
      <c r="G204" s="2" t="s">
        <v>10</v>
      </c>
      <c r="H204" s="2" t="s">
        <v>100</v>
      </c>
      <c r="I204" s="2" t="s">
        <v>100</v>
      </c>
      <c r="J204" s="2" t="s">
        <v>13</v>
      </c>
      <c r="K204" s="2" t="s">
        <v>21</v>
      </c>
      <c r="L204" s="2">
        <v>4</v>
      </c>
      <c r="M204" s="2">
        <v>49889</v>
      </c>
      <c r="N204" s="2">
        <v>0</v>
      </c>
      <c r="O204" s="2">
        <v>199556</v>
      </c>
      <c r="P204" s="6">
        <v>24307.41</v>
      </c>
    </row>
    <row r="205" spans="1:16" x14ac:dyDescent="0.3">
      <c r="A205" s="5" t="s">
        <v>448</v>
      </c>
      <c r="B205" s="2" t="s">
        <v>332</v>
      </c>
      <c r="C205" s="2" t="str">
        <f t="shared" si="3"/>
        <v>July</v>
      </c>
      <c r="D205" s="2" t="s">
        <v>2</v>
      </c>
      <c r="E205" s="2" t="s">
        <v>103</v>
      </c>
      <c r="F205" s="2" t="s">
        <v>104</v>
      </c>
      <c r="G205" s="2" t="s">
        <v>8</v>
      </c>
      <c r="H205" s="2" t="s">
        <v>93</v>
      </c>
      <c r="I205" s="2" t="s">
        <v>93</v>
      </c>
      <c r="J205" s="2" t="s">
        <v>14</v>
      </c>
      <c r="K205" s="2" t="s">
        <v>22</v>
      </c>
      <c r="L205" s="2">
        <v>1</v>
      </c>
      <c r="M205" s="2">
        <v>42247</v>
      </c>
      <c r="N205" s="2">
        <v>15</v>
      </c>
      <c r="O205" s="2">
        <v>35909.949999999997</v>
      </c>
      <c r="P205" s="6">
        <v>10281.64</v>
      </c>
    </row>
    <row r="206" spans="1:16" x14ac:dyDescent="0.3">
      <c r="A206" s="5" t="s">
        <v>449</v>
      </c>
      <c r="B206" s="2" t="s">
        <v>410</v>
      </c>
      <c r="C206" s="2" t="str">
        <f t="shared" si="3"/>
        <v>February</v>
      </c>
      <c r="D206" s="2" t="s">
        <v>2</v>
      </c>
      <c r="E206" s="2" t="s">
        <v>103</v>
      </c>
      <c r="F206" s="2" t="s">
        <v>104</v>
      </c>
      <c r="G206" s="2" t="s">
        <v>10</v>
      </c>
      <c r="H206" s="2" t="s">
        <v>100</v>
      </c>
      <c r="I206" s="2" t="s">
        <v>100</v>
      </c>
      <c r="J206" s="2" t="s">
        <v>12</v>
      </c>
      <c r="K206" s="2" t="s">
        <v>21</v>
      </c>
      <c r="L206" s="2">
        <v>10</v>
      </c>
      <c r="M206" s="2">
        <v>45106</v>
      </c>
      <c r="N206" s="2">
        <v>0</v>
      </c>
      <c r="O206" s="2">
        <v>451060</v>
      </c>
      <c r="P206" s="6">
        <v>43871.02</v>
      </c>
    </row>
    <row r="207" spans="1:16" x14ac:dyDescent="0.3">
      <c r="A207" s="5" t="s">
        <v>450</v>
      </c>
      <c r="B207" s="2" t="s">
        <v>433</v>
      </c>
      <c r="C207" s="2" t="str">
        <f t="shared" si="3"/>
        <v>April</v>
      </c>
      <c r="D207" s="2" t="s">
        <v>4</v>
      </c>
      <c r="E207" s="2" t="s">
        <v>62</v>
      </c>
      <c r="F207" s="2" t="s">
        <v>63</v>
      </c>
      <c r="G207" s="2" t="s">
        <v>8</v>
      </c>
      <c r="H207" s="2" t="s">
        <v>93</v>
      </c>
      <c r="I207" s="2" t="s">
        <v>93</v>
      </c>
      <c r="J207" s="2" t="s">
        <v>15</v>
      </c>
      <c r="K207" s="2" t="s">
        <v>21</v>
      </c>
      <c r="L207" s="2">
        <v>7</v>
      </c>
      <c r="M207" s="2">
        <v>20048</v>
      </c>
      <c r="N207" s="2">
        <v>10</v>
      </c>
      <c r="O207" s="2">
        <v>126302.39999999999</v>
      </c>
      <c r="P207" s="6">
        <v>31884.98</v>
      </c>
    </row>
    <row r="208" spans="1:16" x14ac:dyDescent="0.3">
      <c r="A208" s="5" t="s">
        <v>451</v>
      </c>
      <c r="B208" s="2" t="s">
        <v>452</v>
      </c>
      <c r="C208" s="2" t="str">
        <f t="shared" si="3"/>
        <v>February</v>
      </c>
      <c r="D208" s="2" t="s">
        <v>2</v>
      </c>
      <c r="E208" s="2" t="s">
        <v>81</v>
      </c>
      <c r="F208" s="2" t="s">
        <v>82</v>
      </c>
      <c r="G208" s="2" t="s">
        <v>10</v>
      </c>
      <c r="H208" s="2" t="s">
        <v>83</v>
      </c>
      <c r="I208" s="2" t="s">
        <v>83</v>
      </c>
      <c r="J208" s="2" t="s">
        <v>14</v>
      </c>
      <c r="K208" s="2" t="s">
        <v>21</v>
      </c>
      <c r="L208" s="2">
        <v>9</v>
      </c>
      <c r="M208" s="2">
        <v>23276</v>
      </c>
      <c r="N208" s="2">
        <v>0</v>
      </c>
      <c r="O208" s="2">
        <v>209484</v>
      </c>
      <c r="P208" s="6">
        <v>44475.06</v>
      </c>
    </row>
    <row r="209" spans="1:16" x14ac:dyDescent="0.3">
      <c r="A209" s="5" t="s">
        <v>453</v>
      </c>
      <c r="B209" s="2" t="s">
        <v>373</v>
      </c>
      <c r="C209" s="2" t="str">
        <f t="shared" si="3"/>
        <v>May</v>
      </c>
      <c r="D209" s="2" t="s">
        <v>3</v>
      </c>
      <c r="E209" s="2" t="s">
        <v>117</v>
      </c>
      <c r="F209" s="2" t="s">
        <v>117</v>
      </c>
      <c r="G209" s="2" t="s">
        <v>9</v>
      </c>
      <c r="H209" s="2" t="s">
        <v>126</v>
      </c>
      <c r="I209" s="2" t="s">
        <v>126</v>
      </c>
      <c r="J209" s="2" t="s">
        <v>19</v>
      </c>
      <c r="K209" s="2" t="s">
        <v>21</v>
      </c>
      <c r="L209" s="2">
        <v>10</v>
      </c>
      <c r="M209" s="2">
        <v>9659</v>
      </c>
      <c r="N209" s="2">
        <v>15</v>
      </c>
      <c r="O209" s="2">
        <v>82101.5</v>
      </c>
      <c r="P209" s="6">
        <v>19123.71</v>
      </c>
    </row>
    <row r="210" spans="1:16" x14ac:dyDescent="0.3">
      <c r="A210" s="5" t="s">
        <v>454</v>
      </c>
      <c r="B210" s="2" t="s">
        <v>455</v>
      </c>
      <c r="C210" s="2" t="str">
        <f t="shared" si="3"/>
        <v>January</v>
      </c>
      <c r="D210" s="2" t="s">
        <v>4</v>
      </c>
      <c r="E210" s="2" t="s">
        <v>62</v>
      </c>
      <c r="F210" s="2" t="s">
        <v>63</v>
      </c>
      <c r="G210" s="2" t="s">
        <v>10</v>
      </c>
      <c r="H210" s="2" t="s">
        <v>54</v>
      </c>
      <c r="I210" s="2" t="s">
        <v>54</v>
      </c>
      <c r="J210" s="2" t="s">
        <v>13</v>
      </c>
      <c r="K210" s="2" t="s">
        <v>21</v>
      </c>
      <c r="L210" s="2">
        <v>9</v>
      </c>
      <c r="M210" s="2">
        <v>18118</v>
      </c>
      <c r="N210" s="2">
        <v>10</v>
      </c>
      <c r="O210" s="2">
        <v>146755.79999999999</v>
      </c>
      <c r="P210" s="6">
        <v>15281.3</v>
      </c>
    </row>
    <row r="211" spans="1:16" x14ac:dyDescent="0.3">
      <c r="A211" s="5" t="s">
        <v>456</v>
      </c>
      <c r="B211" s="2" t="s">
        <v>457</v>
      </c>
      <c r="C211" s="2" t="str">
        <f t="shared" si="3"/>
        <v>March</v>
      </c>
      <c r="D211" s="2" t="s">
        <v>5</v>
      </c>
      <c r="E211" s="2" t="s">
        <v>57</v>
      </c>
      <c r="F211" s="2" t="s">
        <v>58</v>
      </c>
      <c r="G211" s="2" t="s">
        <v>8</v>
      </c>
      <c r="H211" s="2" t="s">
        <v>93</v>
      </c>
      <c r="I211" s="2" t="s">
        <v>93</v>
      </c>
      <c r="J211" s="2" t="s">
        <v>19</v>
      </c>
      <c r="K211" s="2" t="s">
        <v>21</v>
      </c>
      <c r="L211" s="2">
        <v>8</v>
      </c>
      <c r="M211" s="2">
        <v>23101</v>
      </c>
      <c r="N211" s="2">
        <v>5</v>
      </c>
      <c r="O211" s="2">
        <v>175567.6</v>
      </c>
      <c r="P211" s="6">
        <v>17726.07</v>
      </c>
    </row>
    <row r="212" spans="1:16" x14ac:dyDescent="0.3">
      <c r="A212" s="5" t="s">
        <v>458</v>
      </c>
      <c r="B212" s="2" t="s">
        <v>459</v>
      </c>
      <c r="C212" s="2" t="str">
        <f t="shared" si="3"/>
        <v>January</v>
      </c>
      <c r="D212" s="2" t="s">
        <v>2</v>
      </c>
      <c r="E212" s="2" t="s">
        <v>103</v>
      </c>
      <c r="F212" s="2" t="s">
        <v>104</v>
      </c>
      <c r="G212" s="2" t="s">
        <v>10</v>
      </c>
      <c r="H212" s="2" t="s">
        <v>83</v>
      </c>
      <c r="I212" s="2" t="s">
        <v>83</v>
      </c>
      <c r="J212" s="2" t="s">
        <v>15</v>
      </c>
      <c r="K212" s="2" t="s">
        <v>22</v>
      </c>
      <c r="L212" s="2">
        <v>4</v>
      </c>
      <c r="M212" s="2">
        <v>45334</v>
      </c>
      <c r="N212" s="2">
        <v>20</v>
      </c>
      <c r="O212" s="2">
        <v>145068.79999999999</v>
      </c>
      <c r="P212" s="6">
        <v>16301.64</v>
      </c>
    </row>
    <row r="213" spans="1:16" x14ac:dyDescent="0.3">
      <c r="A213" s="5" t="s">
        <v>460</v>
      </c>
      <c r="B213" s="2" t="s">
        <v>304</v>
      </c>
      <c r="C213" s="2" t="str">
        <f t="shared" si="3"/>
        <v>February</v>
      </c>
      <c r="D213" s="2" t="s">
        <v>5</v>
      </c>
      <c r="E213" s="2" t="s">
        <v>57</v>
      </c>
      <c r="F213" s="2" t="s">
        <v>58</v>
      </c>
      <c r="G213" s="2" t="s">
        <v>9</v>
      </c>
      <c r="H213" s="2" t="s">
        <v>72</v>
      </c>
      <c r="I213" s="2" t="s">
        <v>72</v>
      </c>
      <c r="J213" s="2" t="s">
        <v>15</v>
      </c>
      <c r="K213" s="2" t="s">
        <v>21</v>
      </c>
      <c r="L213" s="2">
        <v>8</v>
      </c>
      <c r="M213" s="2">
        <v>28908</v>
      </c>
      <c r="N213" s="2">
        <v>0</v>
      </c>
      <c r="O213" s="2">
        <v>231264</v>
      </c>
      <c r="P213" s="6">
        <v>41337.199999999997</v>
      </c>
    </row>
    <row r="214" spans="1:16" x14ac:dyDescent="0.3">
      <c r="A214" s="5" t="s">
        <v>461</v>
      </c>
      <c r="B214" s="2" t="s">
        <v>462</v>
      </c>
      <c r="C214" s="2" t="str">
        <f t="shared" si="3"/>
        <v>June</v>
      </c>
      <c r="D214" s="2" t="s">
        <v>5</v>
      </c>
      <c r="E214" s="2" t="s">
        <v>57</v>
      </c>
      <c r="F214" s="2" t="s">
        <v>58</v>
      </c>
      <c r="G214" s="2" t="s">
        <v>9</v>
      </c>
      <c r="H214" s="2" t="s">
        <v>72</v>
      </c>
      <c r="I214" s="2" t="s">
        <v>72</v>
      </c>
      <c r="J214" s="2" t="s">
        <v>13</v>
      </c>
      <c r="K214" s="2" t="s">
        <v>21</v>
      </c>
      <c r="L214" s="2">
        <v>9</v>
      </c>
      <c r="M214" s="2">
        <v>35872</v>
      </c>
      <c r="N214" s="2">
        <v>20</v>
      </c>
      <c r="O214" s="2">
        <v>258278.39999999999</v>
      </c>
      <c r="P214" s="6">
        <v>75600.95</v>
      </c>
    </row>
    <row r="215" spans="1:16" x14ac:dyDescent="0.3">
      <c r="A215" s="5" t="s">
        <v>463</v>
      </c>
      <c r="B215" s="2" t="s">
        <v>464</v>
      </c>
      <c r="C215" s="2" t="str">
        <f t="shared" si="3"/>
        <v>May</v>
      </c>
      <c r="D215" s="2" t="s">
        <v>5</v>
      </c>
      <c r="E215" s="2" t="s">
        <v>52</v>
      </c>
      <c r="F215" s="2" t="s">
        <v>53</v>
      </c>
      <c r="G215" s="2" t="s">
        <v>10</v>
      </c>
      <c r="H215" s="2" t="s">
        <v>100</v>
      </c>
      <c r="I215" s="2" t="s">
        <v>100</v>
      </c>
      <c r="J215" s="2" t="s">
        <v>17</v>
      </c>
      <c r="K215" s="2" t="s">
        <v>22</v>
      </c>
      <c r="L215" s="2">
        <v>5</v>
      </c>
      <c r="M215" s="2">
        <v>4692</v>
      </c>
      <c r="N215" s="2">
        <v>0</v>
      </c>
      <c r="O215" s="2">
        <v>23460</v>
      </c>
      <c r="P215" s="6">
        <v>1573.67</v>
      </c>
    </row>
    <row r="216" spans="1:16" x14ac:dyDescent="0.3">
      <c r="A216" s="5" t="s">
        <v>465</v>
      </c>
      <c r="B216" s="2" t="s">
        <v>466</v>
      </c>
      <c r="C216" s="2" t="str">
        <f t="shared" si="3"/>
        <v>December</v>
      </c>
      <c r="D216" s="2" t="s">
        <v>3</v>
      </c>
      <c r="E216" s="2" t="s">
        <v>117</v>
      </c>
      <c r="F216" s="2" t="s">
        <v>117</v>
      </c>
      <c r="G216" s="2" t="s">
        <v>10</v>
      </c>
      <c r="H216" s="2" t="s">
        <v>100</v>
      </c>
      <c r="I216" s="2" t="s">
        <v>100</v>
      </c>
      <c r="J216" s="2" t="s">
        <v>14</v>
      </c>
      <c r="K216" s="2" t="s">
        <v>22</v>
      </c>
      <c r="L216" s="2">
        <v>6</v>
      </c>
      <c r="M216" s="2">
        <v>13353</v>
      </c>
      <c r="N216" s="2">
        <v>5</v>
      </c>
      <c r="O216" s="2">
        <v>76112.100000000006</v>
      </c>
      <c r="P216" s="6">
        <v>11376.87</v>
      </c>
    </row>
    <row r="217" spans="1:16" x14ac:dyDescent="0.3">
      <c r="A217" s="5" t="s">
        <v>467</v>
      </c>
      <c r="B217" s="2" t="s">
        <v>468</v>
      </c>
      <c r="C217" s="2" t="str">
        <f t="shared" si="3"/>
        <v>January</v>
      </c>
      <c r="D217" s="2" t="s">
        <v>5</v>
      </c>
      <c r="E217" s="2" t="s">
        <v>52</v>
      </c>
      <c r="F217" s="2" t="s">
        <v>53</v>
      </c>
      <c r="G217" s="2" t="s">
        <v>8</v>
      </c>
      <c r="H217" s="2" t="s">
        <v>76</v>
      </c>
      <c r="I217" s="2" t="s">
        <v>76</v>
      </c>
      <c r="J217" s="2" t="s">
        <v>16</v>
      </c>
      <c r="K217" s="2" t="s">
        <v>21</v>
      </c>
      <c r="L217" s="2">
        <v>1</v>
      </c>
      <c r="M217" s="2">
        <v>24769</v>
      </c>
      <c r="N217" s="2">
        <v>15</v>
      </c>
      <c r="O217" s="2">
        <v>21053.65</v>
      </c>
      <c r="P217" s="6">
        <v>3434.13</v>
      </c>
    </row>
    <row r="218" spans="1:16" x14ac:dyDescent="0.3">
      <c r="A218" s="5" t="s">
        <v>469</v>
      </c>
      <c r="B218" s="2" t="s">
        <v>420</v>
      </c>
      <c r="C218" s="2" t="str">
        <f t="shared" si="3"/>
        <v>September</v>
      </c>
      <c r="D218" s="2" t="s">
        <v>5</v>
      </c>
      <c r="E218" s="2" t="s">
        <v>57</v>
      </c>
      <c r="F218" s="2" t="s">
        <v>58</v>
      </c>
      <c r="G218" s="2" t="s">
        <v>10</v>
      </c>
      <c r="H218" s="2" t="s">
        <v>69</v>
      </c>
      <c r="I218" s="2" t="s">
        <v>69</v>
      </c>
      <c r="J218" s="2" t="s">
        <v>15</v>
      </c>
      <c r="K218" s="2" t="s">
        <v>22</v>
      </c>
      <c r="L218" s="2">
        <v>5</v>
      </c>
      <c r="M218" s="2">
        <v>23600</v>
      </c>
      <c r="N218" s="2">
        <v>20</v>
      </c>
      <c r="O218" s="2">
        <v>94400</v>
      </c>
      <c r="P218" s="6">
        <v>17852.89</v>
      </c>
    </row>
    <row r="219" spans="1:16" x14ac:dyDescent="0.3">
      <c r="A219" s="5" t="s">
        <v>470</v>
      </c>
      <c r="B219" s="2" t="s">
        <v>471</v>
      </c>
      <c r="C219" s="2" t="str">
        <f t="shared" si="3"/>
        <v>August</v>
      </c>
      <c r="D219" s="2" t="s">
        <v>2</v>
      </c>
      <c r="E219" s="2" t="s">
        <v>103</v>
      </c>
      <c r="F219" s="2" t="s">
        <v>104</v>
      </c>
      <c r="G219" s="2" t="s">
        <v>8</v>
      </c>
      <c r="H219" s="2" t="s">
        <v>64</v>
      </c>
      <c r="I219" s="2" t="s">
        <v>64</v>
      </c>
      <c r="J219" s="2" t="s">
        <v>16</v>
      </c>
      <c r="K219" s="2" t="s">
        <v>21</v>
      </c>
      <c r="L219" s="2">
        <v>1</v>
      </c>
      <c r="M219" s="2">
        <v>28040</v>
      </c>
      <c r="N219" s="2">
        <v>10</v>
      </c>
      <c r="O219" s="2">
        <v>25236</v>
      </c>
      <c r="P219" s="6">
        <v>6525.57</v>
      </c>
    </row>
    <row r="220" spans="1:16" x14ac:dyDescent="0.3">
      <c r="A220" s="5" t="s">
        <v>472</v>
      </c>
      <c r="B220" s="2" t="s">
        <v>66</v>
      </c>
      <c r="C220" s="2" t="str">
        <f t="shared" si="3"/>
        <v>March</v>
      </c>
      <c r="D220" s="2" t="s">
        <v>4</v>
      </c>
      <c r="E220" s="2" t="s">
        <v>67</v>
      </c>
      <c r="F220" s="2" t="s">
        <v>68</v>
      </c>
      <c r="G220" s="2" t="s">
        <v>10</v>
      </c>
      <c r="H220" s="2" t="s">
        <v>54</v>
      </c>
      <c r="I220" s="2" t="s">
        <v>54</v>
      </c>
      <c r="J220" s="2" t="s">
        <v>13</v>
      </c>
      <c r="K220" s="2" t="s">
        <v>21</v>
      </c>
      <c r="L220" s="2">
        <v>7</v>
      </c>
      <c r="M220" s="2">
        <v>10109</v>
      </c>
      <c r="N220" s="2">
        <v>5</v>
      </c>
      <c r="O220" s="2">
        <v>67224.850000000006</v>
      </c>
      <c r="P220" s="6">
        <v>4020.82</v>
      </c>
    </row>
    <row r="221" spans="1:16" x14ac:dyDescent="0.3">
      <c r="A221" s="5" t="s">
        <v>473</v>
      </c>
      <c r="B221" s="2" t="s">
        <v>474</v>
      </c>
      <c r="C221" s="2" t="str">
        <f t="shared" si="3"/>
        <v>April</v>
      </c>
      <c r="D221" s="2" t="s">
        <v>5</v>
      </c>
      <c r="E221" s="2" t="s">
        <v>57</v>
      </c>
      <c r="F221" s="2" t="s">
        <v>58</v>
      </c>
      <c r="G221" s="2" t="s">
        <v>10</v>
      </c>
      <c r="H221" s="2" t="s">
        <v>100</v>
      </c>
      <c r="I221" s="2" t="s">
        <v>100</v>
      </c>
      <c r="J221" s="2" t="s">
        <v>12</v>
      </c>
      <c r="K221" s="2" t="s">
        <v>21</v>
      </c>
      <c r="L221" s="2">
        <v>4</v>
      </c>
      <c r="M221" s="2">
        <v>31895</v>
      </c>
      <c r="N221" s="2">
        <v>0</v>
      </c>
      <c r="O221" s="2">
        <v>127580</v>
      </c>
      <c r="P221" s="6">
        <v>9909.81</v>
      </c>
    </row>
    <row r="222" spans="1:16" x14ac:dyDescent="0.3">
      <c r="A222" s="5" t="s">
        <v>475</v>
      </c>
      <c r="B222" s="2" t="s">
        <v>476</v>
      </c>
      <c r="C222" s="2" t="str">
        <f t="shared" si="3"/>
        <v>January</v>
      </c>
      <c r="D222" s="2" t="s">
        <v>3</v>
      </c>
      <c r="E222" s="2" t="s">
        <v>117</v>
      </c>
      <c r="F222" s="2" t="s">
        <v>117</v>
      </c>
      <c r="G222" s="2" t="s">
        <v>10</v>
      </c>
      <c r="H222" s="2" t="s">
        <v>54</v>
      </c>
      <c r="I222" s="2" t="s">
        <v>54</v>
      </c>
      <c r="J222" s="2" t="s">
        <v>18</v>
      </c>
      <c r="K222" s="2" t="s">
        <v>21</v>
      </c>
      <c r="L222" s="2">
        <v>6</v>
      </c>
      <c r="M222" s="2">
        <v>23884</v>
      </c>
      <c r="N222" s="2">
        <v>5</v>
      </c>
      <c r="O222" s="2">
        <v>136138.79999999999</v>
      </c>
      <c r="P222" s="6">
        <v>25223.59</v>
      </c>
    </row>
    <row r="223" spans="1:16" x14ac:dyDescent="0.3">
      <c r="A223" s="5" t="s">
        <v>477</v>
      </c>
      <c r="B223" s="2" t="s">
        <v>478</v>
      </c>
      <c r="C223" s="2" t="str">
        <f t="shared" si="3"/>
        <v>April</v>
      </c>
      <c r="D223" s="2" t="s">
        <v>4</v>
      </c>
      <c r="E223" s="2" t="s">
        <v>62</v>
      </c>
      <c r="F223" s="2" t="s">
        <v>63</v>
      </c>
      <c r="G223" s="2" t="s">
        <v>10</v>
      </c>
      <c r="H223" s="2" t="s">
        <v>54</v>
      </c>
      <c r="I223" s="2" t="s">
        <v>54</v>
      </c>
      <c r="J223" s="2" t="s">
        <v>18</v>
      </c>
      <c r="K223" s="2" t="s">
        <v>22</v>
      </c>
      <c r="L223" s="2">
        <v>8</v>
      </c>
      <c r="M223" s="2">
        <v>25798</v>
      </c>
      <c r="N223" s="2">
        <v>5</v>
      </c>
      <c r="O223" s="2">
        <v>196064.8</v>
      </c>
      <c r="P223" s="6">
        <v>51496.31</v>
      </c>
    </row>
    <row r="224" spans="1:16" x14ac:dyDescent="0.3">
      <c r="A224" s="5" t="s">
        <v>479</v>
      </c>
      <c r="B224" s="2" t="s">
        <v>459</v>
      </c>
      <c r="C224" s="2" t="str">
        <f t="shared" si="3"/>
        <v>January</v>
      </c>
      <c r="D224" s="2" t="s">
        <v>2</v>
      </c>
      <c r="E224" s="2" t="s">
        <v>81</v>
      </c>
      <c r="F224" s="2" t="s">
        <v>82</v>
      </c>
      <c r="G224" s="2" t="s">
        <v>8</v>
      </c>
      <c r="H224" s="2" t="s">
        <v>64</v>
      </c>
      <c r="I224" s="2" t="s">
        <v>64</v>
      </c>
      <c r="J224" s="2" t="s">
        <v>13</v>
      </c>
      <c r="K224" s="2" t="s">
        <v>22</v>
      </c>
      <c r="L224" s="2">
        <v>1</v>
      </c>
      <c r="M224" s="2">
        <v>774</v>
      </c>
      <c r="N224" s="2">
        <v>20</v>
      </c>
      <c r="O224" s="2">
        <v>619.20000000000005</v>
      </c>
      <c r="P224" s="6">
        <v>115.8</v>
      </c>
    </row>
    <row r="225" spans="1:16" x14ac:dyDescent="0.3">
      <c r="A225" s="5" t="s">
        <v>480</v>
      </c>
      <c r="B225" s="2" t="s">
        <v>481</v>
      </c>
      <c r="C225" s="2" t="str">
        <f t="shared" si="3"/>
        <v>December</v>
      </c>
      <c r="D225" s="2" t="s">
        <v>5</v>
      </c>
      <c r="E225" s="2" t="s">
        <v>52</v>
      </c>
      <c r="F225" s="2" t="s">
        <v>53</v>
      </c>
      <c r="G225" s="2" t="s">
        <v>10</v>
      </c>
      <c r="H225" s="2" t="s">
        <v>54</v>
      </c>
      <c r="I225" s="2" t="s">
        <v>54</v>
      </c>
      <c r="J225" s="2" t="s">
        <v>17</v>
      </c>
      <c r="K225" s="2" t="s">
        <v>22</v>
      </c>
      <c r="L225" s="2">
        <v>8</v>
      </c>
      <c r="M225" s="2">
        <v>11253</v>
      </c>
      <c r="N225" s="2">
        <v>0</v>
      </c>
      <c r="O225" s="2">
        <v>90024</v>
      </c>
      <c r="P225" s="6">
        <v>14327.41</v>
      </c>
    </row>
    <row r="226" spans="1:16" x14ac:dyDescent="0.3">
      <c r="A226" s="5" t="s">
        <v>482</v>
      </c>
      <c r="B226" s="2" t="s">
        <v>483</v>
      </c>
      <c r="C226" s="2" t="str">
        <f t="shared" si="3"/>
        <v>September</v>
      </c>
      <c r="D226" s="2" t="s">
        <v>3</v>
      </c>
      <c r="E226" s="2" t="s">
        <v>117</v>
      </c>
      <c r="F226" s="2" t="s">
        <v>117</v>
      </c>
      <c r="G226" s="2" t="s">
        <v>8</v>
      </c>
      <c r="H226" s="2" t="s">
        <v>133</v>
      </c>
      <c r="I226" s="2" t="s">
        <v>133</v>
      </c>
      <c r="J226" s="2" t="s">
        <v>16</v>
      </c>
      <c r="K226" s="2" t="s">
        <v>22</v>
      </c>
      <c r="L226" s="2">
        <v>1</v>
      </c>
      <c r="M226" s="2">
        <v>11865</v>
      </c>
      <c r="N226" s="2">
        <v>10</v>
      </c>
      <c r="O226" s="2">
        <v>10678.5</v>
      </c>
      <c r="P226" s="6">
        <v>2398.54</v>
      </c>
    </row>
    <row r="227" spans="1:16" x14ac:dyDescent="0.3">
      <c r="A227" s="5" t="s">
        <v>484</v>
      </c>
      <c r="B227" s="2" t="s">
        <v>485</v>
      </c>
      <c r="C227" s="2" t="str">
        <f t="shared" si="3"/>
        <v>March</v>
      </c>
      <c r="D227" s="2" t="s">
        <v>5</v>
      </c>
      <c r="E227" s="2" t="s">
        <v>52</v>
      </c>
      <c r="F227" s="2" t="s">
        <v>53</v>
      </c>
      <c r="G227" s="2" t="s">
        <v>9</v>
      </c>
      <c r="H227" s="2" t="s">
        <v>59</v>
      </c>
      <c r="I227" s="2" t="s">
        <v>59</v>
      </c>
      <c r="J227" s="2" t="s">
        <v>12</v>
      </c>
      <c r="K227" s="2" t="s">
        <v>21</v>
      </c>
      <c r="L227" s="2">
        <v>6</v>
      </c>
      <c r="M227" s="2">
        <v>41369</v>
      </c>
      <c r="N227" s="2">
        <v>5</v>
      </c>
      <c r="O227" s="2">
        <v>235803.3</v>
      </c>
      <c r="P227" s="6">
        <v>46597.21</v>
      </c>
    </row>
    <row r="228" spans="1:16" x14ac:dyDescent="0.3">
      <c r="A228" s="5" t="s">
        <v>486</v>
      </c>
      <c r="B228" s="2" t="s">
        <v>487</v>
      </c>
      <c r="C228" s="2" t="str">
        <f t="shared" si="3"/>
        <v>May</v>
      </c>
      <c r="D228" s="2" t="s">
        <v>3</v>
      </c>
      <c r="E228" s="2" t="s">
        <v>117</v>
      </c>
      <c r="F228" s="2" t="s">
        <v>117</v>
      </c>
      <c r="G228" s="2" t="s">
        <v>8</v>
      </c>
      <c r="H228" s="2" t="s">
        <v>133</v>
      </c>
      <c r="I228" s="2" t="s">
        <v>133</v>
      </c>
      <c r="J228" s="2" t="s">
        <v>14</v>
      </c>
      <c r="K228" s="2" t="s">
        <v>21</v>
      </c>
      <c r="L228" s="2">
        <v>6</v>
      </c>
      <c r="M228" s="2">
        <v>30510</v>
      </c>
      <c r="N228" s="2">
        <v>0</v>
      </c>
      <c r="O228" s="2">
        <v>183060</v>
      </c>
      <c r="P228" s="6">
        <v>12331.4</v>
      </c>
    </row>
    <row r="229" spans="1:16" x14ac:dyDescent="0.3">
      <c r="A229" s="5" t="s">
        <v>488</v>
      </c>
      <c r="B229" s="2" t="s">
        <v>452</v>
      </c>
      <c r="C229" s="2" t="str">
        <f t="shared" si="3"/>
        <v>February</v>
      </c>
      <c r="D229" s="2" t="s">
        <v>2</v>
      </c>
      <c r="E229" s="2" t="s">
        <v>81</v>
      </c>
      <c r="F229" s="2" t="s">
        <v>82</v>
      </c>
      <c r="G229" s="2" t="s">
        <v>9</v>
      </c>
      <c r="H229" s="2" t="s">
        <v>72</v>
      </c>
      <c r="I229" s="2" t="s">
        <v>72</v>
      </c>
      <c r="J229" s="2" t="s">
        <v>18</v>
      </c>
      <c r="K229" s="2" t="s">
        <v>22</v>
      </c>
      <c r="L229" s="2">
        <v>10</v>
      </c>
      <c r="M229" s="2">
        <v>23601</v>
      </c>
      <c r="N229" s="2">
        <v>15</v>
      </c>
      <c r="O229" s="2">
        <v>200608.5</v>
      </c>
      <c r="P229" s="6">
        <v>42620.7</v>
      </c>
    </row>
    <row r="230" spans="1:16" x14ac:dyDescent="0.3">
      <c r="A230" s="5" t="s">
        <v>489</v>
      </c>
      <c r="B230" s="2" t="s">
        <v>490</v>
      </c>
      <c r="C230" s="2" t="str">
        <f t="shared" si="3"/>
        <v>August</v>
      </c>
      <c r="D230" s="2" t="s">
        <v>4</v>
      </c>
      <c r="E230" s="2" t="s">
        <v>67</v>
      </c>
      <c r="F230" s="2" t="s">
        <v>68</v>
      </c>
      <c r="G230" s="2" t="s">
        <v>8</v>
      </c>
      <c r="H230" s="2" t="s">
        <v>76</v>
      </c>
      <c r="I230" s="2" t="s">
        <v>76</v>
      </c>
      <c r="J230" s="2" t="s">
        <v>17</v>
      </c>
      <c r="K230" s="2" t="s">
        <v>21</v>
      </c>
      <c r="L230" s="2">
        <v>2</v>
      </c>
      <c r="M230" s="2">
        <v>13384</v>
      </c>
      <c r="N230" s="2">
        <v>20</v>
      </c>
      <c r="O230" s="2">
        <v>21414.400000000001</v>
      </c>
      <c r="P230" s="6">
        <v>1229.71</v>
      </c>
    </row>
    <row r="231" spans="1:16" x14ac:dyDescent="0.3">
      <c r="A231" s="5" t="s">
        <v>491</v>
      </c>
      <c r="B231" s="2" t="s">
        <v>381</v>
      </c>
      <c r="C231" s="2" t="str">
        <f t="shared" si="3"/>
        <v>September</v>
      </c>
      <c r="D231" s="2" t="s">
        <v>5</v>
      </c>
      <c r="E231" s="2" t="s">
        <v>52</v>
      </c>
      <c r="F231" s="2" t="s">
        <v>53</v>
      </c>
      <c r="G231" s="2" t="s">
        <v>9</v>
      </c>
      <c r="H231" s="2" t="s">
        <v>126</v>
      </c>
      <c r="I231" s="2" t="s">
        <v>126</v>
      </c>
      <c r="J231" s="2" t="s">
        <v>12</v>
      </c>
      <c r="K231" s="2" t="s">
        <v>22</v>
      </c>
      <c r="L231" s="2">
        <v>3</v>
      </c>
      <c r="M231" s="2">
        <v>22891</v>
      </c>
      <c r="N231" s="2">
        <v>0</v>
      </c>
      <c r="O231" s="2">
        <v>68673</v>
      </c>
      <c r="P231" s="6">
        <v>5469.01</v>
      </c>
    </row>
    <row r="232" spans="1:16" x14ac:dyDescent="0.3">
      <c r="A232" s="5" t="s">
        <v>492</v>
      </c>
      <c r="B232" s="2" t="s">
        <v>493</v>
      </c>
      <c r="C232" s="2" t="str">
        <f t="shared" si="3"/>
        <v>January</v>
      </c>
      <c r="D232" s="2" t="s">
        <v>5</v>
      </c>
      <c r="E232" s="2" t="s">
        <v>57</v>
      </c>
      <c r="F232" s="2" t="s">
        <v>58</v>
      </c>
      <c r="G232" s="2" t="s">
        <v>9</v>
      </c>
      <c r="H232" s="2" t="s">
        <v>72</v>
      </c>
      <c r="I232" s="2" t="s">
        <v>72</v>
      </c>
      <c r="J232" s="2" t="s">
        <v>12</v>
      </c>
      <c r="K232" s="2" t="s">
        <v>21</v>
      </c>
      <c r="L232" s="2">
        <v>9</v>
      </c>
      <c r="M232" s="2">
        <v>19371</v>
      </c>
      <c r="N232" s="2">
        <v>10</v>
      </c>
      <c r="O232" s="2">
        <v>156905.1</v>
      </c>
      <c r="P232" s="6">
        <v>37604.17</v>
      </c>
    </row>
    <row r="233" spans="1:16" x14ac:dyDescent="0.3">
      <c r="A233" s="5" t="s">
        <v>494</v>
      </c>
      <c r="B233" s="2" t="s">
        <v>495</v>
      </c>
      <c r="C233" s="2" t="str">
        <f t="shared" si="3"/>
        <v>June</v>
      </c>
      <c r="D233" s="2" t="s">
        <v>3</v>
      </c>
      <c r="E233" s="2" t="s">
        <v>75</v>
      </c>
      <c r="F233" s="2" t="s">
        <v>75</v>
      </c>
      <c r="G233" s="2" t="s">
        <v>9</v>
      </c>
      <c r="H233" s="2" t="s">
        <v>72</v>
      </c>
      <c r="I233" s="2" t="s">
        <v>72</v>
      </c>
      <c r="J233" s="2" t="s">
        <v>13</v>
      </c>
      <c r="K233" s="2" t="s">
        <v>22</v>
      </c>
      <c r="L233" s="2">
        <v>9</v>
      </c>
      <c r="M233" s="2">
        <v>12305</v>
      </c>
      <c r="N233" s="2">
        <v>0</v>
      </c>
      <c r="O233" s="2">
        <v>110745</v>
      </c>
      <c r="P233" s="6">
        <v>15066.54</v>
      </c>
    </row>
    <row r="234" spans="1:16" x14ac:dyDescent="0.3">
      <c r="A234" s="5" t="s">
        <v>496</v>
      </c>
      <c r="B234" s="2" t="s">
        <v>497</v>
      </c>
      <c r="C234" s="2" t="str">
        <f t="shared" si="3"/>
        <v>August</v>
      </c>
      <c r="D234" s="2" t="s">
        <v>5</v>
      </c>
      <c r="E234" s="2" t="s">
        <v>57</v>
      </c>
      <c r="F234" s="2" t="s">
        <v>58</v>
      </c>
      <c r="G234" s="2" t="s">
        <v>9</v>
      </c>
      <c r="H234" s="2" t="s">
        <v>72</v>
      </c>
      <c r="I234" s="2" t="s">
        <v>72</v>
      </c>
      <c r="J234" s="2" t="s">
        <v>19</v>
      </c>
      <c r="K234" s="2" t="s">
        <v>22</v>
      </c>
      <c r="L234" s="2">
        <v>6</v>
      </c>
      <c r="M234" s="2">
        <v>23291</v>
      </c>
      <c r="N234" s="2">
        <v>5</v>
      </c>
      <c r="O234" s="2">
        <v>132758.70000000001</v>
      </c>
      <c r="P234" s="6">
        <v>6688.84</v>
      </c>
    </row>
    <row r="235" spans="1:16" x14ac:dyDescent="0.3">
      <c r="A235" s="5" t="s">
        <v>498</v>
      </c>
      <c r="B235" s="2" t="s">
        <v>499</v>
      </c>
      <c r="C235" s="2" t="str">
        <f t="shared" si="3"/>
        <v>February</v>
      </c>
      <c r="D235" s="2" t="s">
        <v>2</v>
      </c>
      <c r="E235" s="2" t="s">
        <v>103</v>
      </c>
      <c r="F235" s="2" t="s">
        <v>104</v>
      </c>
      <c r="G235" s="2" t="s">
        <v>8</v>
      </c>
      <c r="H235" s="2" t="s">
        <v>93</v>
      </c>
      <c r="I235" s="2" t="s">
        <v>93</v>
      </c>
      <c r="J235" s="2" t="s">
        <v>19</v>
      </c>
      <c r="K235" s="2" t="s">
        <v>21</v>
      </c>
      <c r="L235" s="2">
        <v>3</v>
      </c>
      <c r="M235" s="2">
        <v>34073</v>
      </c>
      <c r="N235" s="2">
        <v>0</v>
      </c>
      <c r="O235" s="2">
        <v>102219</v>
      </c>
      <c r="P235" s="6">
        <v>21031.91</v>
      </c>
    </row>
    <row r="236" spans="1:16" x14ac:dyDescent="0.3">
      <c r="A236" s="5" t="s">
        <v>500</v>
      </c>
      <c r="B236" s="2" t="s">
        <v>501</v>
      </c>
      <c r="C236" s="2" t="str">
        <f t="shared" si="3"/>
        <v>February</v>
      </c>
      <c r="D236" s="2" t="s">
        <v>3</v>
      </c>
      <c r="E236" s="2" t="s">
        <v>117</v>
      </c>
      <c r="F236" s="2" t="s">
        <v>117</v>
      </c>
      <c r="G236" s="2" t="s">
        <v>10</v>
      </c>
      <c r="H236" s="2" t="s">
        <v>54</v>
      </c>
      <c r="I236" s="2" t="s">
        <v>54</v>
      </c>
      <c r="J236" s="2" t="s">
        <v>16</v>
      </c>
      <c r="K236" s="2" t="s">
        <v>22</v>
      </c>
      <c r="L236" s="2">
        <v>10</v>
      </c>
      <c r="M236" s="2">
        <v>22607</v>
      </c>
      <c r="N236" s="2">
        <v>10</v>
      </c>
      <c r="O236" s="2">
        <v>203463</v>
      </c>
      <c r="P236" s="6">
        <v>30747.61</v>
      </c>
    </row>
    <row r="237" spans="1:16" x14ac:dyDescent="0.3">
      <c r="A237" s="5" t="s">
        <v>502</v>
      </c>
      <c r="B237" s="2" t="s">
        <v>503</v>
      </c>
      <c r="C237" s="2" t="str">
        <f t="shared" si="3"/>
        <v>March</v>
      </c>
      <c r="D237" s="2" t="s">
        <v>3</v>
      </c>
      <c r="E237" s="2" t="s">
        <v>117</v>
      </c>
      <c r="F237" s="2" t="s">
        <v>117</v>
      </c>
      <c r="G237" s="2" t="s">
        <v>8</v>
      </c>
      <c r="H237" s="2" t="s">
        <v>64</v>
      </c>
      <c r="I237" s="2" t="s">
        <v>64</v>
      </c>
      <c r="J237" s="2" t="s">
        <v>17</v>
      </c>
      <c r="K237" s="2" t="s">
        <v>21</v>
      </c>
      <c r="L237" s="2">
        <v>10</v>
      </c>
      <c r="M237" s="2">
        <v>21802</v>
      </c>
      <c r="N237" s="2">
        <v>15</v>
      </c>
      <c r="O237" s="2">
        <v>185317</v>
      </c>
      <c r="P237" s="6">
        <v>20368.87</v>
      </c>
    </row>
    <row r="238" spans="1:16" x14ac:dyDescent="0.3">
      <c r="A238" s="5" t="s">
        <v>504</v>
      </c>
      <c r="B238" s="2" t="s">
        <v>505</v>
      </c>
      <c r="C238" s="2" t="str">
        <f t="shared" si="3"/>
        <v>November</v>
      </c>
      <c r="D238" s="2" t="s">
        <v>3</v>
      </c>
      <c r="E238" s="2" t="s">
        <v>117</v>
      </c>
      <c r="F238" s="2" t="s">
        <v>117</v>
      </c>
      <c r="G238" s="2" t="s">
        <v>9</v>
      </c>
      <c r="H238" s="2" t="s">
        <v>126</v>
      </c>
      <c r="I238" s="2" t="s">
        <v>126</v>
      </c>
      <c r="J238" s="2" t="s">
        <v>16</v>
      </c>
      <c r="K238" s="2" t="s">
        <v>22</v>
      </c>
      <c r="L238" s="2">
        <v>6</v>
      </c>
      <c r="M238" s="2">
        <v>3393</v>
      </c>
      <c r="N238" s="2">
        <v>20</v>
      </c>
      <c r="O238" s="2">
        <v>16286.4</v>
      </c>
      <c r="P238" s="6">
        <v>1779.74</v>
      </c>
    </row>
    <row r="239" spans="1:16" x14ac:dyDescent="0.3">
      <c r="A239" s="5" t="s">
        <v>506</v>
      </c>
      <c r="B239" s="2" t="s">
        <v>507</v>
      </c>
      <c r="C239" s="2" t="str">
        <f t="shared" si="3"/>
        <v>May</v>
      </c>
      <c r="D239" s="2" t="s">
        <v>5</v>
      </c>
      <c r="E239" s="2" t="s">
        <v>52</v>
      </c>
      <c r="F239" s="2" t="s">
        <v>53</v>
      </c>
      <c r="G239" s="2" t="s">
        <v>8</v>
      </c>
      <c r="H239" s="2" t="s">
        <v>133</v>
      </c>
      <c r="I239" s="2" t="s">
        <v>133</v>
      </c>
      <c r="J239" s="2" t="s">
        <v>13</v>
      </c>
      <c r="K239" s="2" t="s">
        <v>22</v>
      </c>
      <c r="L239" s="2">
        <v>1</v>
      </c>
      <c r="M239" s="2">
        <v>25203</v>
      </c>
      <c r="N239" s="2">
        <v>5</v>
      </c>
      <c r="O239" s="2">
        <v>23942.85</v>
      </c>
      <c r="P239" s="6">
        <v>6534.68</v>
      </c>
    </row>
    <row r="240" spans="1:16" x14ac:dyDescent="0.3">
      <c r="A240" s="5" t="s">
        <v>508</v>
      </c>
      <c r="B240" s="2" t="s">
        <v>509</v>
      </c>
      <c r="C240" s="2" t="str">
        <f t="shared" si="3"/>
        <v>April</v>
      </c>
      <c r="D240" s="2" t="s">
        <v>3</v>
      </c>
      <c r="E240" s="2" t="s">
        <v>117</v>
      </c>
      <c r="F240" s="2" t="s">
        <v>117</v>
      </c>
      <c r="G240" s="2" t="s">
        <v>9</v>
      </c>
      <c r="H240" s="2" t="s">
        <v>72</v>
      </c>
      <c r="I240" s="2" t="s">
        <v>72</v>
      </c>
      <c r="J240" s="2" t="s">
        <v>13</v>
      </c>
      <c r="K240" s="2" t="s">
        <v>22</v>
      </c>
      <c r="L240" s="2">
        <v>1</v>
      </c>
      <c r="M240" s="2">
        <v>15924</v>
      </c>
      <c r="N240" s="2">
        <v>20</v>
      </c>
      <c r="O240" s="2">
        <v>12739.2</v>
      </c>
      <c r="P240" s="6">
        <v>3101.13</v>
      </c>
    </row>
    <row r="241" spans="1:16" x14ac:dyDescent="0.3">
      <c r="A241" s="5" t="s">
        <v>510</v>
      </c>
      <c r="B241" s="2" t="s">
        <v>226</v>
      </c>
      <c r="C241" s="2" t="str">
        <f t="shared" si="3"/>
        <v>November</v>
      </c>
      <c r="D241" s="2" t="s">
        <v>4</v>
      </c>
      <c r="E241" s="2" t="s">
        <v>62</v>
      </c>
      <c r="F241" s="2" t="s">
        <v>63</v>
      </c>
      <c r="G241" s="2" t="s">
        <v>10</v>
      </c>
      <c r="H241" s="2" t="s">
        <v>54</v>
      </c>
      <c r="I241" s="2" t="s">
        <v>54</v>
      </c>
      <c r="J241" s="2" t="s">
        <v>15</v>
      </c>
      <c r="K241" s="2" t="s">
        <v>21</v>
      </c>
      <c r="L241" s="2">
        <v>6</v>
      </c>
      <c r="M241" s="2">
        <v>13202</v>
      </c>
      <c r="N241" s="2">
        <v>15</v>
      </c>
      <c r="O241" s="2">
        <v>67330.2</v>
      </c>
      <c r="P241" s="6">
        <v>5064.1499999999996</v>
      </c>
    </row>
    <row r="242" spans="1:16" x14ac:dyDescent="0.3">
      <c r="A242" s="5" t="s">
        <v>511</v>
      </c>
      <c r="B242" s="2" t="s">
        <v>512</v>
      </c>
      <c r="C242" s="2" t="str">
        <f t="shared" si="3"/>
        <v>December</v>
      </c>
      <c r="D242" s="2" t="s">
        <v>4</v>
      </c>
      <c r="E242" s="2" t="s">
        <v>62</v>
      </c>
      <c r="F242" s="2" t="s">
        <v>63</v>
      </c>
      <c r="G242" s="2" t="s">
        <v>10</v>
      </c>
      <c r="H242" s="2" t="s">
        <v>100</v>
      </c>
      <c r="I242" s="2" t="s">
        <v>100</v>
      </c>
      <c r="J242" s="2" t="s">
        <v>12</v>
      </c>
      <c r="K242" s="2" t="s">
        <v>22</v>
      </c>
      <c r="L242" s="2">
        <v>1</v>
      </c>
      <c r="M242" s="2">
        <v>46095</v>
      </c>
      <c r="N242" s="2">
        <v>15</v>
      </c>
      <c r="O242" s="2">
        <v>39180.75</v>
      </c>
      <c r="P242" s="6">
        <v>5805.74</v>
      </c>
    </row>
    <row r="243" spans="1:16" x14ac:dyDescent="0.3">
      <c r="A243" s="5" t="s">
        <v>513</v>
      </c>
      <c r="B243" s="2" t="s">
        <v>514</v>
      </c>
      <c r="C243" s="2" t="str">
        <f t="shared" si="3"/>
        <v>September</v>
      </c>
      <c r="D243" s="2" t="s">
        <v>5</v>
      </c>
      <c r="E243" s="2" t="s">
        <v>57</v>
      </c>
      <c r="F243" s="2" t="s">
        <v>58</v>
      </c>
      <c r="G243" s="2" t="s">
        <v>10</v>
      </c>
      <c r="H243" s="2" t="s">
        <v>83</v>
      </c>
      <c r="I243" s="2" t="s">
        <v>83</v>
      </c>
      <c r="J243" s="2" t="s">
        <v>18</v>
      </c>
      <c r="K243" s="2" t="s">
        <v>22</v>
      </c>
      <c r="L243" s="2">
        <v>6</v>
      </c>
      <c r="M243" s="2">
        <v>25687</v>
      </c>
      <c r="N243" s="2">
        <v>10</v>
      </c>
      <c r="O243" s="2">
        <v>138709.79999999999</v>
      </c>
      <c r="P243" s="6">
        <v>17725.12</v>
      </c>
    </row>
    <row r="244" spans="1:16" x14ac:dyDescent="0.3">
      <c r="A244" s="5" t="s">
        <v>515</v>
      </c>
      <c r="B244" s="2" t="s">
        <v>516</v>
      </c>
      <c r="C244" s="2" t="str">
        <f t="shared" si="3"/>
        <v>April</v>
      </c>
      <c r="D244" s="2" t="s">
        <v>4</v>
      </c>
      <c r="E244" s="2" t="s">
        <v>62</v>
      </c>
      <c r="F244" s="2" t="s">
        <v>63</v>
      </c>
      <c r="G244" s="2" t="s">
        <v>8</v>
      </c>
      <c r="H244" s="2" t="s">
        <v>76</v>
      </c>
      <c r="I244" s="2" t="s">
        <v>76</v>
      </c>
      <c r="J244" s="2" t="s">
        <v>14</v>
      </c>
      <c r="K244" s="2" t="s">
        <v>21</v>
      </c>
      <c r="L244" s="2">
        <v>6</v>
      </c>
      <c r="M244" s="2">
        <v>39135</v>
      </c>
      <c r="N244" s="2">
        <v>15</v>
      </c>
      <c r="O244" s="2">
        <v>199588.5</v>
      </c>
      <c r="P244" s="6">
        <v>24940.23</v>
      </c>
    </row>
    <row r="245" spans="1:16" x14ac:dyDescent="0.3">
      <c r="A245" s="5" t="s">
        <v>517</v>
      </c>
      <c r="B245" s="2" t="s">
        <v>518</v>
      </c>
      <c r="C245" s="2" t="str">
        <f t="shared" si="3"/>
        <v>February</v>
      </c>
      <c r="D245" s="2" t="s">
        <v>2</v>
      </c>
      <c r="E245" s="2" t="s">
        <v>81</v>
      </c>
      <c r="F245" s="2" t="s">
        <v>82</v>
      </c>
      <c r="G245" s="2" t="s">
        <v>8</v>
      </c>
      <c r="H245" s="2" t="s">
        <v>76</v>
      </c>
      <c r="I245" s="2" t="s">
        <v>76</v>
      </c>
      <c r="J245" s="2" t="s">
        <v>17</v>
      </c>
      <c r="K245" s="2" t="s">
        <v>21</v>
      </c>
      <c r="L245" s="2">
        <v>2</v>
      </c>
      <c r="M245" s="2">
        <v>49926</v>
      </c>
      <c r="N245" s="2">
        <v>0</v>
      </c>
      <c r="O245" s="2">
        <v>99852</v>
      </c>
      <c r="P245" s="6">
        <v>20080.91</v>
      </c>
    </row>
    <row r="246" spans="1:16" x14ac:dyDescent="0.3">
      <c r="A246" s="5" t="s">
        <v>519</v>
      </c>
      <c r="B246" s="2" t="s">
        <v>289</v>
      </c>
      <c r="C246" s="2" t="str">
        <f t="shared" si="3"/>
        <v>July</v>
      </c>
      <c r="D246" s="2" t="s">
        <v>2</v>
      </c>
      <c r="E246" s="2" t="s">
        <v>81</v>
      </c>
      <c r="F246" s="2" t="s">
        <v>82</v>
      </c>
      <c r="G246" s="2" t="s">
        <v>9</v>
      </c>
      <c r="H246" s="2" t="s">
        <v>90</v>
      </c>
      <c r="I246" s="2" t="s">
        <v>90</v>
      </c>
      <c r="J246" s="2" t="s">
        <v>19</v>
      </c>
      <c r="K246" s="2" t="s">
        <v>22</v>
      </c>
      <c r="L246" s="2">
        <v>9</v>
      </c>
      <c r="M246" s="2">
        <v>24432</v>
      </c>
      <c r="N246" s="2">
        <v>15</v>
      </c>
      <c r="O246" s="2">
        <v>186904.8</v>
      </c>
      <c r="P246" s="6">
        <v>48117.440000000002</v>
      </c>
    </row>
    <row r="247" spans="1:16" x14ac:dyDescent="0.3">
      <c r="A247" s="5" t="s">
        <v>520</v>
      </c>
      <c r="B247" s="2" t="s">
        <v>156</v>
      </c>
      <c r="C247" s="2" t="str">
        <f t="shared" si="3"/>
        <v>December</v>
      </c>
      <c r="D247" s="2" t="s">
        <v>5</v>
      </c>
      <c r="E247" s="2" t="s">
        <v>57</v>
      </c>
      <c r="F247" s="2" t="s">
        <v>58</v>
      </c>
      <c r="G247" s="2" t="s">
        <v>8</v>
      </c>
      <c r="H247" s="2" t="s">
        <v>64</v>
      </c>
      <c r="I247" s="2" t="s">
        <v>64</v>
      </c>
      <c r="J247" s="2" t="s">
        <v>19</v>
      </c>
      <c r="K247" s="2" t="s">
        <v>21</v>
      </c>
      <c r="L247" s="2">
        <v>10</v>
      </c>
      <c r="M247" s="2">
        <v>19460</v>
      </c>
      <c r="N247" s="2">
        <v>10</v>
      </c>
      <c r="O247" s="2">
        <v>175140</v>
      </c>
      <c r="P247" s="6">
        <v>52057.09</v>
      </c>
    </row>
    <row r="248" spans="1:16" x14ac:dyDescent="0.3">
      <c r="A248" s="5" t="s">
        <v>521</v>
      </c>
      <c r="B248" s="2" t="s">
        <v>522</v>
      </c>
      <c r="C248" s="2" t="str">
        <f t="shared" si="3"/>
        <v>February</v>
      </c>
      <c r="D248" s="2" t="s">
        <v>3</v>
      </c>
      <c r="E248" s="2" t="s">
        <v>75</v>
      </c>
      <c r="F248" s="2" t="s">
        <v>75</v>
      </c>
      <c r="G248" s="2" t="s">
        <v>9</v>
      </c>
      <c r="H248" s="2" t="s">
        <v>59</v>
      </c>
      <c r="I248" s="2" t="s">
        <v>59</v>
      </c>
      <c r="J248" s="2" t="s">
        <v>17</v>
      </c>
      <c r="K248" s="2" t="s">
        <v>21</v>
      </c>
      <c r="L248" s="2">
        <v>10</v>
      </c>
      <c r="M248" s="2">
        <v>28533</v>
      </c>
      <c r="N248" s="2">
        <v>15</v>
      </c>
      <c r="O248" s="2">
        <v>242530.5</v>
      </c>
      <c r="P248" s="6">
        <v>41793.86</v>
      </c>
    </row>
    <row r="249" spans="1:16" x14ac:dyDescent="0.3">
      <c r="A249" s="5" t="s">
        <v>523</v>
      </c>
      <c r="B249" s="2" t="s">
        <v>200</v>
      </c>
      <c r="C249" s="2" t="str">
        <f t="shared" si="3"/>
        <v>May</v>
      </c>
      <c r="D249" s="2" t="s">
        <v>5</v>
      </c>
      <c r="E249" s="2" t="s">
        <v>52</v>
      </c>
      <c r="F249" s="2" t="s">
        <v>53</v>
      </c>
      <c r="G249" s="2" t="s">
        <v>8</v>
      </c>
      <c r="H249" s="2" t="s">
        <v>93</v>
      </c>
      <c r="I249" s="2" t="s">
        <v>93</v>
      </c>
      <c r="J249" s="2" t="s">
        <v>12</v>
      </c>
      <c r="K249" s="2" t="s">
        <v>21</v>
      </c>
      <c r="L249" s="2">
        <v>1</v>
      </c>
      <c r="M249" s="2">
        <v>47928</v>
      </c>
      <c r="N249" s="2">
        <v>10</v>
      </c>
      <c r="O249" s="2">
        <v>43135.199999999997</v>
      </c>
      <c r="P249" s="6">
        <v>3137.32</v>
      </c>
    </row>
    <row r="250" spans="1:16" x14ac:dyDescent="0.3">
      <c r="A250" s="5" t="s">
        <v>524</v>
      </c>
      <c r="B250" s="2" t="s">
        <v>428</v>
      </c>
      <c r="C250" s="2" t="str">
        <f t="shared" si="3"/>
        <v>November</v>
      </c>
      <c r="D250" s="2" t="s">
        <v>2</v>
      </c>
      <c r="E250" s="2" t="s">
        <v>103</v>
      </c>
      <c r="F250" s="2" t="s">
        <v>104</v>
      </c>
      <c r="G250" s="2" t="s">
        <v>10</v>
      </c>
      <c r="H250" s="2" t="s">
        <v>83</v>
      </c>
      <c r="I250" s="2" t="s">
        <v>83</v>
      </c>
      <c r="J250" s="2" t="s">
        <v>18</v>
      </c>
      <c r="K250" s="2" t="s">
        <v>21</v>
      </c>
      <c r="L250" s="2">
        <v>4</v>
      </c>
      <c r="M250" s="2">
        <v>45415</v>
      </c>
      <c r="N250" s="2">
        <v>15</v>
      </c>
      <c r="O250" s="2">
        <v>154411</v>
      </c>
      <c r="P250" s="6">
        <v>29002.67</v>
      </c>
    </row>
    <row r="251" spans="1:16" x14ac:dyDescent="0.3">
      <c r="A251" s="5" t="s">
        <v>525</v>
      </c>
      <c r="B251" s="2" t="s">
        <v>285</v>
      </c>
      <c r="C251" s="2" t="str">
        <f t="shared" si="3"/>
        <v>January</v>
      </c>
      <c r="D251" s="2" t="s">
        <v>2</v>
      </c>
      <c r="E251" s="2" t="s">
        <v>81</v>
      </c>
      <c r="F251" s="2" t="s">
        <v>82</v>
      </c>
      <c r="G251" s="2" t="s">
        <v>8</v>
      </c>
      <c r="H251" s="2" t="s">
        <v>76</v>
      </c>
      <c r="I251" s="2" t="s">
        <v>76</v>
      </c>
      <c r="J251" s="2" t="s">
        <v>14</v>
      </c>
      <c r="K251" s="2" t="s">
        <v>21</v>
      </c>
      <c r="L251" s="2">
        <v>2</v>
      </c>
      <c r="M251" s="2">
        <v>49238</v>
      </c>
      <c r="N251" s="2">
        <v>15</v>
      </c>
      <c r="O251" s="2">
        <v>83704.600000000006</v>
      </c>
      <c r="P251" s="6">
        <v>18442.12</v>
      </c>
    </row>
    <row r="252" spans="1:16" x14ac:dyDescent="0.3">
      <c r="A252" s="5" t="s">
        <v>526</v>
      </c>
      <c r="B252" s="2" t="s">
        <v>503</v>
      </c>
      <c r="C252" s="2" t="str">
        <f t="shared" si="3"/>
        <v>March</v>
      </c>
      <c r="D252" s="2" t="s">
        <v>5</v>
      </c>
      <c r="E252" s="2" t="s">
        <v>57</v>
      </c>
      <c r="F252" s="2" t="s">
        <v>58</v>
      </c>
      <c r="G252" s="2" t="s">
        <v>9</v>
      </c>
      <c r="H252" s="2" t="s">
        <v>90</v>
      </c>
      <c r="I252" s="2" t="s">
        <v>90</v>
      </c>
      <c r="J252" s="2" t="s">
        <v>19</v>
      </c>
      <c r="K252" s="2" t="s">
        <v>21</v>
      </c>
      <c r="L252" s="2">
        <v>3</v>
      </c>
      <c r="M252" s="2">
        <v>43344</v>
      </c>
      <c r="N252" s="2">
        <v>0</v>
      </c>
      <c r="O252" s="2">
        <v>130032</v>
      </c>
      <c r="P252" s="6">
        <v>27906.05</v>
      </c>
    </row>
    <row r="253" spans="1:16" x14ac:dyDescent="0.3">
      <c r="A253" s="5" t="s">
        <v>527</v>
      </c>
      <c r="B253" s="2" t="s">
        <v>528</v>
      </c>
      <c r="C253" s="2" t="str">
        <f t="shared" si="3"/>
        <v>April</v>
      </c>
      <c r="D253" s="2" t="s">
        <v>5</v>
      </c>
      <c r="E253" s="2" t="s">
        <v>57</v>
      </c>
      <c r="F253" s="2" t="s">
        <v>58</v>
      </c>
      <c r="G253" s="2" t="s">
        <v>9</v>
      </c>
      <c r="H253" s="2" t="s">
        <v>126</v>
      </c>
      <c r="I253" s="2" t="s">
        <v>126</v>
      </c>
      <c r="J253" s="2" t="s">
        <v>18</v>
      </c>
      <c r="K253" s="2" t="s">
        <v>21</v>
      </c>
      <c r="L253" s="2">
        <v>6</v>
      </c>
      <c r="M253" s="2">
        <v>9892</v>
      </c>
      <c r="N253" s="2">
        <v>10</v>
      </c>
      <c r="O253" s="2">
        <v>53416.800000000003</v>
      </c>
      <c r="P253" s="6">
        <v>15363.43</v>
      </c>
    </row>
    <row r="254" spans="1:16" x14ac:dyDescent="0.3">
      <c r="A254" s="5" t="s">
        <v>529</v>
      </c>
      <c r="B254" s="2" t="s">
        <v>228</v>
      </c>
      <c r="C254" s="2" t="str">
        <f t="shared" si="3"/>
        <v>May</v>
      </c>
      <c r="D254" s="2" t="s">
        <v>2</v>
      </c>
      <c r="E254" s="2" t="s">
        <v>81</v>
      </c>
      <c r="F254" s="2" t="s">
        <v>82</v>
      </c>
      <c r="G254" s="2" t="s">
        <v>9</v>
      </c>
      <c r="H254" s="2" t="s">
        <v>59</v>
      </c>
      <c r="I254" s="2" t="s">
        <v>59</v>
      </c>
      <c r="J254" s="2" t="s">
        <v>17</v>
      </c>
      <c r="K254" s="2" t="s">
        <v>21</v>
      </c>
      <c r="L254" s="2">
        <v>10</v>
      </c>
      <c r="M254" s="2">
        <v>39594</v>
      </c>
      <c r="N254" s="2">
        <v>20</v>
      </c>
      <c r="O254" s="2">
        <v>316752</v>
      </c>
      <c r="P254" s="6">
        <v>71749.64</v>
      </c>
    </row>
    <row r="255" spans="1:16" x14ac:dyDescent="0.3">
      <c r="A255" s="5" t="s">
        <v>530</v>
      </c>
      <c r="B255" s="2" t="s">
        <v>531</v>
      </c>
      <c r="C255" s="2" t="str">
        <f t="shared" si="3"/>
        <v>July</v>
      </c>
      <c r="D255" s="2" t="s">
        <v>2</v>
      </c>
      <c r="E255" s="2" t="s">
        <v>81</v>
      </c>
      <c r="F255" s="2" t="s">
        <v>82</v>
      </c>
      <c r="G255" s="2" t="s">
        <v>8</v>
      </c>
      <c r="H255" s="2" t="s">
        <v>133</v>
      </c>
      <c r="I255" s="2" t="s">
        <v>133</v>
      </c>
      <c r="J255" s="2" t="s">
        <v>17</v>
      </c>
      <c r="K255" s="2" t="s">
        <v>21</v>
      </c>
      <c r="L255" s="2">
        <v>1</v>
      </c>
      <c r="M255" s="2">
        <v>20317</v>
      </c>
      <c r="N255" s="2">
        <v>5</v>
      </c>
      <c r="O255" s="2">
        <v>19301.150000000001</v>
      </c>
      <c r="P255" s="6">
        <v>3683.89</v>
      </c>
    </row>
    <row r="256" spans="1:16" x14ac:dyDescent="0.3">
      <c r="A256" s="5" t="s">
        <v>532</v>
      </c>
      <c r="B256" s="2" t="s">
        <v>533</v>
      </c>
      <c r="C256" s="2" t="str">
        <f t="shared" si="3"/>
        <v>June</v>
      </c>
      <c r="D256" s="2" t="s">
        <v>3</v>
      </c>
      <c r="E256" s="2" t="s">
        <v>75</v>
      </c>
      <c r="F256" s="2" t="s">
        <v>75</v>
      </c>
      <c r="G256" s="2" t="s">
        <v>8</v>
      </c>
      <c r="H256" s="2" t="s">
        <v>76</v>
      </c>
      <c r="I256" s="2" t="s">
        <v>76</v>
      </c>
      <c r="J256" s="2" t="s">
        <v>18</v>
      </c>
      <c r="K256" s="2" t="s">
        <v>22</v>
      </c>
      <c r="L256" s="2">
        <v>2</v>
      </c>
      <c r="M256" s="2">
        <v>1476</v>
      </c>
      <c r="N256" s="2">
        <v>5</v>
      </c>
      <c r="O256" s="2">
        <v>2804.4</v>
      </c>
      <c r="P256" s="6">
        <v>520.48</v>
      </c>
    </row>
    <row r="257" spans="1:16" x14ac:dyDescent="0.3">
      <c r="A257" s="5" t="s">
        <v>534</v>
      </c>
      <c r="B257" s="2" t="s">
        <v>535</v>
      </c>
      <c r="C257" s="2" t="str">
        <f t="shared" si="3"/>
        <v>July</v>
      </c>
      <c r="D257" s="2" t="s">
        <v>5</v>
      </c>
      <c r="E257" s="2" t="s">
        <v>57</v>
      </c>
      <c r="F257" s="2" t="s">
        <v>58</v>
      </c>
      <c r="G257" s="2" t="s">
        <v>9</v>
      </c>
      <c r="H257" s="2" t="s">
        <v>126</v>
      </c>
      <c r="I257" s="2" t="s">
        <v>126</v>
      </c>
      <c r="J257" s="2" t="s">
        <v>13</v>
      </c>
      <c r="K257" s="2" t="s">
        <v>22</v>
      </c>
      <c r="L257" s="2">
        <v>7</v>
      </c>
      <c r="M257" s="2">
        <v>31463</v>
      </c>
      <c r="N257" s="2">
        <v>20</v>
      </c>
      <c r="O257" s="2">
        <v>176192.8</v>
      </c>
      <c r="P257" s="6">
        <v>9504.3700000000008</v>
      </c>
    </row>
    <row r="258" spans="1:16" x14ac:dyDescent="0.3">
      <c r="A258" s="5" t="s">
        <v>536</v>
      </c>
      <c r="B258" s="2" t="s">
        <v>381</v>
      </c>
      <c r="C258" s="2" t="str">
        <f t="shared" si="3"/>
        <v>September</v>
      </c>
      <c r="D258" s="2" t="s">
        <v>3</v>
      </c>
      <c r="E258" s="2" t="s">
        <v>117</v>
      </c>
      <c r="F258" s="2" t="s">
        <v>117</v>
      </c>
      <c r="G258" s="2" t="s">
        <v>10</v>
      </c>
      <c r="H258" s="2" t="s">
        <v>69</v>
      </c>
      <c r="I258" s="2" t="s">
        <v>69</v>
      </c>
      <c r="J258" s="2" t="s">
        <v>13</v>
      </c>
      <c r="K258" s="2" t="s">
        <v>22</v>
      </c>
      <c r="L258" s="2">
        <v>4</v>
      </c>
      <c r="M258" s="2">
        <v>43612</v>
      </c>
      <c r="N258" s="2">
        <v>15</v>
      </c>
      <c r="O258" s="2">
        <v>148280.79999999999</v>
      </c>
      <c r="P258" s="6">
        <v>38022.379999999997</v>
      </c>
    </row>
    <row r="259" spans="1:16" x14ac:dyDescent="0.3">
      <c r="A259" s="5" t="s">
        <v>537</v>
      </c>
      <c r="B259" s="2" t="s">
        <v>158</v>
      </c>
      <c r="C259" s="2" t="str">
        <f t="shared" ref="C259:C322" si="4">TEXT(B259,"mmmm")</f>
        <v>May</v>
      </c>
      <c r="D259" s="2" t="s">
        <v>3</v>
      </c>
      <c r="E259" s="2" t="s">
        <v>117</v>
      </c>
      <c r="F259" s="2" t="s">
        <v>117</v>
      </c>
      <c r="G259" s="2" t="s">
        <v>8</v>
      </c>
      <c r="H259" s="2" t="s">
        <v>76</v>
      </c>
      <c r="I259" s="2" t="s">
        <v>76</v>
      </c>
      <c r="J259" s="2" t="s">
        <v>17</v>
      </c>
      <c r="K259" s="2" t="s">
        <v>21</v>
      </c>
      <c r="L259" s="2">
        <v>6</v>
      </c>
      <c r="M259" s="2">
        <v>37402</v>
      </c>
      <c r="N259" s="2">
        <v>10</v>
      </c>
      <c r="O259" s="2">
        <v>201970.8</v>
      </c>
      <c r="P259" s="6">
        <v>15127.4</v>
      </c>
    </row>
    <row r="260" spans="1:16" x14ac:dyDescent="0.3">
      <c r="A260" s="5" t="s">
        <v>538</v>
      </c>
      <c r="B260" s="2" t="s">
        <v>518</v>
      </c>
      <c r="C260" s="2" t="str">
        <f t="shared" si="4"/>
        <v>February</v>
      </c>
      <c r="D260" s="2" t="s">
        <v>2</v>
      </c>
      <c r="E260" s="2" t="s">
        <v>81</v>
      </c>
      <c r="F260" s="2" t="s">
        <v>82</v>
      </c>
      <c r="G260" s="2" t="s">
        <v>10</v>
      </c>
      <c r="H260" s="2" t="s">
        <v>54</v>
      </c>
      <c r="I260" s="2" t="s">
        <v>54</v>
      </c>
      <c r="J260" s="2" t="s">
        <v>15</v>
      </c>
      <c r="K260" s="2" t="s">
        <v>21</v>
      </c>
      <c r="L260" s="2">
        <v>10</v>
      </c>
      <c r="M260" s="2">
        <v>40154</v>
      </c>
      <c r="N260" s="2">
        <v>5</v>
      </c>
      <c r="O260" s="2">
        <v>381463</v>
      </c>
      <c r="P260" s="6">
        <v>99422.35</v>
      </c>
    </row>
    <row r="261" spans="1:16" x14ac:dyDescent="0.3">
      <c r="A261" s="5" t="s">
        <v>539</v>
      </c>
      <c r="B261" s="2" t="s">
        <v>95</v>
      </c>
      <c r="C261" s="2" t="str">
        <f t="shared" si="4"/>
        <v>November</v>
      </c>
      <c r="D261" s="2" t="s">
        <v>5</v>
      </c>
      <c r="E261" s="2" t="s">
        <v>57</v>
      </c>
      <c r="F261" s="2" t="s">
        <v>58</v>
      </c>
      <c r="G261" s="2" t="s">
        <v>8</v>
      </c>
      <c r="H261" s="2" t="s">
        <v>64</v>
      </c>
      <c r="I261" s="2" t="s">
        <v>64</v>
      </c>
      <c r="J261" s="2" t="s">
        <v>18</v>
      </c>
      <c r="K261" s="2" t="s">
        <v>22</v>
      </c>
      <c r="L261" s="2">
        <v>6</v>
      </c>
      <c r="M261" s="2">
        <v>15724</v>
      </c>
      <c r="N261" s="2">
        <v>15</v>
      </c>
      <c r="O261" s="2">
        <v>80192.399999999994</v>
      </c>
      <c r="P261" s="6">
        <v>4902.18</v>
      </c>
    </row>
    <row r="262" spans="1:16" x14ac:dyDescent="0.3">
      <c r="A262" s="5" t="s">
        <v>540</v>
      </c>
      <c r="B262" s="2" t="s">
        <v>476</v>
      </c>
      <c r="C262" s="2" t="str">
        <f t="shared" si="4"/>
        <v>January</v>
      </c>
      <c r="D262" s="2" t="s">
        <v>2</v>
      </c>
      <c r="E262" s="2" t="s">
        <v>103</v>
      </c>
      <c r="F262" s="2" t="s">
        <v>104</v>
      </c>
      <c r="G262" s="2" t="s">
        <v>9</v>
      </c>
      <c r="H262" s="2" t="s">
        <v>126</v>
      </c>
      <c r="I262" s="2" t="s">
        <v>126</v>
      </c>
      <c r="J262" s="2" t="s">
        <v>13</v>
      </c>
      <c r="K262" s="2" t="s">
        <v>22</v>
      </c>
      <c r="L262" s="2">
        <v>8</v>
      </c>
      <c r="M262" s="2">
        <v>47495</v>
      </c>
      <c r="N262" s="2">
        <v>15</v>
      </c>
      <c r="O262" s="2">
        <v>322966</v>
      </c>
      <c r="P262" s="6">
        <v>44143.21</v>
      </c>
    </row>
    <row r="263" spans="1:16" x14ac:dyDescent="0.3">
      <c r="A263" s="5" t="s">
        <v>541</v>
      </c>
      <c r="B263" s="2" t="s">
        <v>542</v>
      </c>
      <c r="C263" s="2" t="str">
        <f t="shared" si="4"/>
        <v>January</v>
      </c>
      <c r="D263" s="2" t="s">
        <v>5</v>
      </c>
      <c r="E263" s="2" t="s">
        <v>57</v>
      </c>
      <c r="F263" s="2" t="s">
        <v>58</v>
      </c>
      <c r="G263" s="2" t="s">
        <v>8</v>
      </c>
      <c r="H263" s="2" t="s">
        <v>64</v>
      </c>
      <c r="I263" s="2" t="s">
        <v>64</v>
      </c>
      <c r="J263" s="2" t="s">
        <v>14</v>
      </c>
      <c r="K263" s="2" t="s">
        <v>22</v>
      </c>
      <c r="L263" s="2">
        <v>7</v>
      </c>
      <c r="M263" s="2">
        <v>20671</v>
      </c>
      <c r="N263" s="2">
        <v>15</v>
      </c>
      <c r="O263" s="2">
        <v>122992.45</v>
      </c>
      <c r="P263" s="6">
        <v>26982.37</v>
      </c>
    </row>
    <row r="264" spans="1:16" x14ac:dyDescent="0.3">
      <c r="A264" s="5" t="s">
        <v>543</v>
      </c>
      <c r="B264" s="2" t="s">
        <v>234</v>
      </c>
      <c r="C264" s="2" t="str">
        <f t="shared" si="4"/>
        <v>August</v>
      </c>
      <c r="D264" s="2" t="s">
        <v>3</v>
      </c>
      <c r="E264" s="2" t="s">
        <v>75</v>
      </c>
      <c r="F264" s="2" t="s">
        <v>75</v>
      </c>
      <c r="G264" s="2" t="s">
        <v>8</v>
      </c>
      <c r="H264" s="2" t="s">
        <v>93</v>
      </c>
      <c r="I264" s="2" t="s">
        <v>93</v>
      </c>
      <c r="J264" s="2" t="s">
        <v>16</v>
      </c>
      <c r="K264" s="2" t="s">
        <v>21</v>
      </c>
      <c r="L264" s="2">
        <v>8</v>
      </c>
      <c r="M264" s="2">
        <v>27636</v>
      </c>
      <c r="N264" s="2">
        <v>5</v>
      </c>
      <c r="O264" s="2">
        <v>210033.6</v>
      </c>
      <c r="P264" s="6">
        <v>53423.07</v>
      </c>
    </row>
    <row r="265" spans="1:16" x14ac:dyDescent="0.3">
      <c r="A265" s="5" t="s">
        <v>544</v>
      </c>
      <c r="B265" s="2" t="s">
        <v>459</v>
      </c>
      <c r="C265" s="2" t="str">
        <f t="shared" si="4"/>
        <v>January</v>
      </c>
      <c r="D265" s="2" t="s">
        <v>5</v>
      </c>
      <c r="E265" s="2" t="s">
        <v>57</v>
      </c>
      <c r="F265" s="2" t="s">
        <v>58</v>
      </c>
      <c r="G265" s="2" t="s">
        <v>8</v>
      </c>
      <c r="H265" s="2" t="s">
        <v>76</v>
      </c>
      <c r="I265" s="2" t="s">
        <v>76</v>
      </c>
      <c r="J265" s="2" t="s">
        <v>15</v>
      </c>
      <c r="K265" s="2" t="s">
        <v>22</v>
      </c>
      <c r="L265" s="2">
        <v>2</v>
      </c>
      <c r="M265" s="2">
        <v>46259</v>
      </c>
      <c r="N265" s="2">
        <v>20</v>
      </c>
      <c r="O265" s="2">
        <v>74014.399999999994</v>
      </c>
      <c r="P265" s="6">
        <v>18833.400000000001</v>
      </c>
    </row>
    <row r="266" spans="1:16" x14ac:dyDescent="0.3">
      <c r="A266" s="5" t="s">
        <v>545</v>
      </c>
      <c r="B266" s="2" t="s">
        <v>177</v>
      </c>
      <c r="C266" s="2" t="str">
        <f t="shared" si="4"/>
        <v>September</v>
      </c>
      <c r="D266" s="2" t="s">
        <v>2</v>
      </c>
      <c r="E266" s="2" t="s">
        <v>81</v>
      </c>
      <c r="F266" s="2" t="s">
        <v>82</v>
      </c>
      <c r="G266" s="2" t="s">
        <v>10</v>
      </c>
      <c r="H266" s="2" t="s">
        <v>69</v>
      </c>
      <c r="I266" s="2" t="s">
        <v>69</v>
      </c>
      <c r="J266" s="2" t="s">
        <v>14</v>
      </c>
      <c r="K266" s="2" t="s">
        <v>21</v>
      </c>
      <c r="L266" s="2">
        <v>4</v>
      </c>
      <c r="M266" s="2">
        <v>47522</v>
      </c>
      <c r="N266" s="2">
        <v>0</v>
      </c>
      <c r="O266" s="2">
        <v>190088</v>
      </c>
      <c r="P266" s="6">
        <v>33327.71</v>
      </c>
    </row>
    <row r="267" spans="1:16" x14ac:dyDescent="0.3">
      <c r="A267" s="5" t="s">
        <v>546</v>
      </c>
      <c r="B267" s="2" t="s">
        <v>410</v>
      </c>
      <c r="C267" s="2" t="str">
        <f t="shared" si="4"/>
        <v>February</v>
      </c>
      <c r="D267" s="2" t="s">
        <v>3</v>
      </c>
      <c r="E267" s="2" t="s">
        <v>75</v>
      </c>
      <c r="F267" s="2" t="s">
        <v>75</v>
      </c>
      <c r="G267" s="2" t="s">
        <v>10</v>
      </c>
      <c r="H267" s="2" t="s">
        <v>69</v>
      </c>
      <c r="I267" s="2" t="s">
        <v>69</v>
      </c>
      <c r="J267" s="2" t="s">
        <v>16</v>
      </c>
      <c r="K267" s="2" t="s">
        <v>21</v>
      </c>
      <c r="L267" s="2">
        <v>1</v>
      </c>
      <c r="M267" s="2">
        <v>3520</v>
      </c>
      <c r="N267" s="2">
        <v>5</v>
      </c>
      <c r="O267" s="2">
        <v>3344</v>
      </c>
      <c r="P267" s="6">
        <v>961.73</v>
      </c>
    </row>
    <row r="268" spans="1:16" x14ac:dyDescent="0.3">
      <c r="A268" s="5" t="s">
        <v>547</v>
      </c>
      <c r="B268" s="2" t="s">
        <v>175</v>
      </c>
      <c r="C268" s="2" t="str">
        <f t="shared" si="4"/>
        <v>November</v>
      </c>
      <c r="D268" s="2" t="s">
        <v>3</v>
      </c>
      <c r="E268" s="2" t="s">
        <v>117</v>
      </c>
      <c r="F268" s="2" t="s">
        <v>117</v>
      </c>
      <c r="G268" s="2" t="s">
        <v>8</v>
      </c>
      <c r="H268" s="2" t="s">
        <v>76</v>
      </c>
      <c r="I268" s="2" t="s">
        <v>76</v>
      </c>
      <c r="J268" s="2" t="s">
        <v>16</v>
      </c>
      <c r="K268" s="2" t="s">
        <v>22</v>
      </c>
      <c r="L268" s="2">
        <v>9</v>
      </c>
      <c r="M268" s="2">
        <v>14666</v>
      </c>
      <c r="N268" s="2">
        <v>0</v>
      </c>
      <c r="O268" s="2">
        <v>131994</v>
      </c>
      <c r="P268" s="6">
        <v>9610.39</v>
      </c>
    </row>
    <row r="269" spans="1:16" x14ac:dyDescent="0.3">
      <c r="A269" s="5" t="s">
        <v>548</v>
      </c>
      <c r="B269" s="2" t="s">
        <v>549</v>
      </c>
      <c r="C269" s="2" t="str">
        <f t="shared" si="4"/>
        <v>February</v>
      </c>
      <c r="D269" s="2" t="s">
        <v>2</v>
      </c>
      <c r="E269" s="2" t="s">
        <v>103</v>
      </c>
      <c r="F269" s="2" t="s">
        <v>104</v>
      </c>
      <c r="G269" s="2" t="s">
        <v>10</v>
      </c>
      <c r="H269" s="2" t="s">
        <v>83</v>
      </c>
      <c r="I269" s="2" t="s">
        <v>83</v>
      </c>
      <c r="J269" s="2" t="s">
        <v>16</v>
      </c>
      <c r="K269" s="2" t="s">
        <v>22</v>
      </c>
      <c r="L269" s="2">
        <v>6</v>
      </c>
      <c r="M269" s="2">
        <v>9912</v>
      </c>
      <c r="N269" s="2">
        <v>0</v>
      </c>
      <c r="O269" s="2">
        <v>59472</v>
      </c>
      <c r="P269" s="6">
        <v>8430.69</v>
      </c>
    </row>
    <row r="270" spans="1:16" x14ac:dyDescent="0.3">
      <c r="A270" s="5" t="s">
        <v>550</v>
      </c>
      <c r="B270" s="2" t="s">
        <v>522</v>
      </c>
      <c r="C270" s="2" t="str">
        <f t="shared" si="4"/>
        <v>February</v>
      </c>
      <c r="D270" s="2" t="s">
        <v>2</v>
      </c>
      <c r="E270" s="2" t="s">
        <v>103</v>
      </c>
      <c r="F270" s="2" t="s">
        <v>104</v>
      </c>
      <c r="G270" s="2" t="s">
        <v>10</v>
      </c>
      <c r="H270" s="2" t="s">
        <v>69</v>
      </c>
      <c r="I270" s="2" t="s">
        <v>69</v>
      </c>
      <c r="J270" s="2" t="s">
        <v>13</v>
      </c>
      <c r="K270" s="2" t="s">
        <v>22</v>
      </c>
      <c r="L270" s="2">
        <v>4</v>
      </c>
      <c r="M270" s="2">
        <v>38343</v>
      </c>
      <c r="N270" s="2">
        <v>20</v>
      </c>
      <c r="O270" s="2">
        <v>122697.60000000001</v>
      </c>
      <c r="P270" s="6">
        <v>14561.29</v>
      </c>
    </row>
    <row r="271" spans="1:16" x14ac:dyDescent="0.3">
      <c r="A271" s="5" t="s">
        <v>551</v>
      </c>
      <c r="B271" s="2" t="s">
        <v>264</v>
      </c>
      <c r="C271" s="2" t="str">
        <f t="shared" si="4"/>
        <v>June</v>
      </c>
      <c r="D271" s="2" t="s">
        <v>3</v>
      </c>
      <c r="E271" s="2" t="s">
        <v>75</v>
      </c>
      <c r="F271" s="2" t="s">
        <v>75</v>
      </c>
      <c r="G271" s="2" t="s">
        <v>10</v>
      </c>
      <c r="H271" s="2" t="s">
        <v>69</v>
      </c>
      <c r="I271" s="2" t="s">
        <v>69</v>
      </c>
      <c r="J271" s="2" t="s">
        <v>14</v>
      </c>
      <c r="K271" s="2" t="s">
        <v>22</v>
      </c>
      <c r="L271" s="2">
        <v>3</v>
      </c>
      <c r="M271" s="2">
        <v>39488</v>
      </c>
      <c r="N271" s="2">
        <v>20</v>
      </c>
      <c r="O271" s="2">
        <v>94771.199999999997</v>
      </c>
      <c r="P271" s="6">
        <v>27954.51</v>
      </c>
    </row>
    <row r="272" spans="1:16" x14ac:dyDescent="0.3">
      <c r="A272" s="5" t="s">
        <v>552</v>
      </c>
      <c r="B272" s="2" t="s">
        <v>377</v>
      </c>
      <c r="C272" s="2" t="str">
        <f t="shared" si="4"/>
        <v>December</v>
      </c>
      <c r="D272" s="2" t="s">
        <v>4</v>
      </c>
      <c r="E272" s="2" t="s">
        <v>62</v>
      </c>
      <c r="F272" s="2" t="s">
        <v>63</v>
      </c>
      <c r="G272" s="2" t="s">
        <v>10</v>
      </c>
      <c r="H272" s="2" t="s">
        <v>100</v>
      </c>
      <c r="I272" s="2" t="s">
        <v>100</v>
      </c>
      <c r="J272" s="2" t="s">
        <v>13</v>
      </c>
      <c r="K272" s="2" t="s">
        <v>21</v>
      </c>
      <c r="L272" s="2">
        <v>4</v>
      </c>
      <c r="M272" s="2">
        <v>16352</v>
      </c>
      <c r="N272" s="2">
        <v>15</v>
      </c>
      <c r="O272" s="2">
        <v>55596.800000000003</v>
      </c>
      <c r="P272" s="6">
        <v>15883.72</v>
      </c>
    </row>
    <row r="273" spans="1:16" x14ac:dyDescent="0.3">
      <c r="A273" s="5" t="s">
        <v>553</v>
      </c>
      <c r="B273" s="2" t="s">
        <v>554</v>
      </c>
      <c r="C273" s="2" t="str">
        <f t="shared" si="4"/>
        <v>February</v>
      </c>
      <c r="D273" s="2" t="s">
        <v>2</v>
      </c>
      <c r="E273" s="2" t="s">
        <v>103</v>
      </c>
      <c r="F273" s="2" t="s">
        <v>104</v>
      </c>
      <c r="G273" s="2" t="s">
        <v>10</v>
      </c>
      <c r="H273" s="2" t="s">
        <v>100</v>
      </c>
      <c r="I273" s="2" t="s">
        <v>100</v>
      </c>
      <c r="J273" s="2" t="s">
        <v>14</v>
      </c>
      <c r="K273" s="2" t="s">
        <v>22</v>
      </c>
      <c r="L273" s="2">
        <v>9</v>
      </c>
      <c r="M273" s="2">
        <v>4028</v>
      </c>
      <c r="N273" s="2">
        <v>20</v>
      </c>
      <c r="O273" s="2">
        <v>29001.599999999999</v>
      </c>
      <c r="P273" s="6">
        <v>4438.7299999999996</v>
      </c>
    </row>
    <row r="274" spans="1:16" x14ac:dyDescent="0.3">
      <c r="A274" s="5" t="s">
        <v>555</v>
      </c>
      <c r="B274" s="2" t="s">
        <v>160</v>
      </c>
      <c r="C274" s="2" t="str">
        <f t="shared" si="4"/>
        <v>September</v>
      </c>
      <c r="D274" s="2" t="s">
        <v>4</v>
      </c>
      <c r="E274" s="2" t="s">
        <v>67</v>
      </c>
      <c r="F274" s="2" t="s">
        <v>68</v>
      </c>
      <c r="G274" s="2" t="s">
        <v>9</v>
      </c>
      <c r="H274" s="2" t="s">
        <v>59</v>
      </c>
      <c r="I274" s="2" t="s">
        <v>59</v>
      </c>
      <c r="J274" s="2" t="s">
        <v>12</v>
      </c>
      <c r="K274" s="2" t="s">
        <v>22</v>
      </c>
      <c r="L274" s="2">
        <v>9</v>
      </c>
      <c r="M274" s="2">
        <v>29927</v>
      </c>
      <c r="N274" s="2">
        <v>5</v>
      </c>
      <c r="O274" s="2">
        <v>255875.85</v>
      </c>
      <c r="P274" s="6">
        <v>19645.61</v>
      </c>
    </row>
    <row r="275" spans="1:16" x14ac:dyDescent="0.3">
      <c r="A275" s="5" t="s">
        <v>556</v>
      </c>
      <c r="B275" s="2" t="s">
        <v>557</v>
      </c>
      <c r="C275" s="2" t="str">
        <f t="shared" si="4"/>
        <v>July</v>
      </c>
      <c r="D275" s="2" t="s">
        <v>3</v>
      </c>
      <c r="E275" s="2" t="s">
        <v>75</v>
      </c>
      <c r="F275" s="2" t="s">
        <v>75</v>
      </c>
      <c r="G275" s="2" t="s">
        <v>8</v>
      </c>
      <c r="H275" s="2" t="s">
        <v>64</v>
      </c>
      <c r="I275" s="2" t="s">
        <v>64</v>
      </c>
      <c r="J275" s="2" t="s">
        <v>12</v>
      </c>
      <c r="K275" s="2" t="s">
        <v>21</v>
      </c>
      <c r="L275" s="2">
        <v>5</v>
      </c>
      <c r="M275" s="2">
        <v>16308</v>
      </c>
      <c r="N275" s="2">
        <v>0</v>
      </c>
      <c r="O275" s="2">
        <v>81540</v>
      </c>
      <c r="P275" s="6">
        <v>16781.84</v>
      </c>
    </row>
    <row r="276" spans="1:16" x14ac:dyDescent="0.3">
      <c r="A276" s="5" t="s">
        <v>558</v>
      </c>
      <c r="B276" s="2" t="s">
        <v>559</v>
      </c>
      <c r="C276" s="2" t="str">
        <f t="shared" si="4"/>
        <v>March</v>
      </c>
      <c r="D276" s="2" t="s">
        <v>3</v>
      </c>
      <c r="E276" s="2" t="s">
        <v>117</v>
      </c>
      <c r="F276" s="2" t="s">
        <v>117</v>
      </c>
      <c r="G276" s="2" t="s">
        <v>8</v>
      </c>
      <c r="H276" s="2" t="s">
        <v>133</v>
      </c>
      <c r="I276" s="2" t="s">
        <v>133</v>
      </c>
      <c r="J276" s="2" t="s">
        <v>17</v>
      </c>
      <c r="K276" s="2" t="s">
        <v>21</v>
      </c>
      <c r="L276" s="2">
        <v>7</v>
      </c>
      <c r="M276" s="2">
        <v>25226</v>
      </c>
      <c r="N276" s="2">
        <v>20</v>
      </c>
      <c r="O276" s="2">
        <v>141265.60000000001</v>
      </c>
      <c r="P276" s="6">
        <v>10746.7</v>
      </c>
    </row>
    <row r="277" spans="1:16" x14ac:dyDescent="0.3">
      <c r="A277" s="5" t="s">
        <v>560</v>
      </c>
      <c r="B277" s="2" t="s">
        <v>561</v>
      </c>
      <c r="C277" s="2" t="str">
        <f t="shared" si="4"/>
        <v>July</v>
      </c>
      <c r="D277" s="2" t="s">
        <v>2</v>
      </c>
      <c r="E277" s="2" t="s">
        <v>81</v>
      </c>
      <c r="F277" s="2" t="s">
        <v>82</v>
      </c>
      <c r="G277" s="2" t="s">
        <v>9</v>
      </c>
      <c r="H277" s="2" t="s">
        <v>126</v>
      </c>
      <c r="I277" s="2" t="s">
        <v>126</v>
      </c>
      <c r="J277" s="2" t="s">
        <v>15</v>
      </c>
      <c r="K277" s="2" t="s">
        <v>22</v>
      </c>
      <c r="L277" s="2">
        <v>4</v>
      </c>
      <c r="M277" s="2">
        <v>13881</v>
      </c>
      <c r="N277" s="2">
        <v>0</v>
      </c>
      <c r="O277" s="2">
        <v>55524</v>
      </c>
      <c r="P277" s="6">
        <v>9350.4599999999991</v>
      </c>
    </row>
    <row r="278" spans="1:16" x14ac:dyDescent="0.3">
      <c r="A278" s="5" t="s">
        <v>562</v>
      </c>
      <c r="B278" s="2" t="s">
        <v>563</v>
      </c>
      <c r="C278" s="2" t="str">
        <f t="shared" si="4"/>
        <v>January</v>
      </c>
      <c r="D278" s="2" t="s">
        <v>5</v>
      </c>
      <c r="E278" s="2" t="s">
        <v>57</v>
      </c>
      <c r="F278" s="2" t="s">
        <v>58</v>
      </c>
      <c r="G278" s="2" t="s">
        <v>8</v>
      </c>
      <c r="H278" s="2" t="s">
        <v>93</v>
      </c>
      <c r="I278" s="2" t="s">
        <v>93</v>
      </c>
      <c r="J278" s="2" t="s">
        <v>12</v>
      </c>
      <c r="K278" s="2" t="s">
        <v>21</v>
      </c>
      <c r="L278" s="2">
        <v>6</v>
      </c>
      <c r="M278" s="2">
        <v>42536</v>
      </c>
      <c r="N278" s="2">
        <v>10</v>
      </c>
      <c r="O278" s="2">
        <v>229694.4</v>
      </c>
      <c r="P278" s="6">
        <v>65936.06</v>
      </c>
    </row>
    <row r="279" spans="1:16" x14ac:dyDescent="0.3">
      <c r="A279" s="5" t="s">
        <v>564</v>
      </c>
      <c r="B279" s="2" t="s">
        <v>565</v>
      </c>
      <c r="C279" s="2" t="str">
        <f t="shared" si="4"/>
        <v>July</v>
      </c>
      <c r="D279" s="2" t="s">
        <v>2</v>
      </c>
      <c r="E279" s="2" t="s">
        <v>103</v>
      </c>
      <c r="F279" s="2" t="s">
        <v>104</v>
      </c>
      <c r="G279" s="2" t="s">
        <v>10</v>
      </c>
      <c r="H279" s="2" t="s">
        <v>100</v>
      </c>
      <c r="I279" s="2" t="s">
        <v>100</v>
      </c>
      <c r="J279" s="2" t="s">
        <v>16</v>
      </c>
      <c r="K279" s="2" t="s">
        <v>21</v>
      </c>
      <c r="L279" s="2">
        <v>10</v>
      </c>
      <c r="M279" s="2">
        <v>13904</v>
      </c>
      <c r="N279" s="2">
        <v>20</v>
      </c>
      <c r="O279" s="2">
        <v>111232</v>
      </c>
      <c r="P279" s="6">
        <v>12731.44</v>
      </c>
    </row>
    <row r="280" spans="1:16" x14ac:dyDescent="0.3">
      <c r="A280" s="5" t="s">
        <v>566</v>
      </c>
      <c r="B280" s="2" t="s">
        <v>567</v>
      </c>
      <c r="C280" s="2" t="str">
        <f t="shared" si="4"/>
        <v>October</v>
      </c>
      <c r="D280" s="2" t="s">
        <v>4</v>
      </c>
      <c r="E280" s="2" t="s">
        <v>62</v>
      </c>
      <c r="F280" s="2" t="s">
        <v>63</v>
      </c>
      <c r="G280" s="2" t="s">
        <v>10</v>
      </c>
      <c r="H280" s="2" t="s">
        <v>100</v>
      </c>
      <c r="I280" s="2" t="s">
        <v>100</v>
      </c>
      <c r="J280" s="2" t="s">
        <v>19</v>
      </c>
      <c r="K280" s="2" t="s">
        <v>22</v>
      </c>
      <c r="L280" s="2">
        <v>4</v>
      </c>
      <c r="M280" s="2">
        <v>18272</v>
      </c>
      <c r="N280" s="2">
        <v>15</v>
      </c>
      <c r="O280" s="2">
        <v>62124.800000000003</v>
      </c>
      <c r="P280" s="6">
        <v>10823.08</v>
      </c>
    </row>
    <row r="281" spans="1:16" x14ac:dyDescent="0.3">
      <c r="A281" s="5" t="s">
        <v>568</v>
      </c>
      <c r="B281" s="2" t="s">
        <v>569</v>
      </c>
      <c r="C281" s="2" t="str">
        <f t="shared" si="4"/>
        <v>January</v>
      </c>
      <c r="D281" s="2" t="s">
        <v>2</v>
      </c>
      <c r="E281" s="2" t="s">
        <v>103</v>
      </c>
      <c r="F281" s="2" t="s">
        <v>104</v>
      </c>
      <c r="G281" s="2" t="s">
        <v>10</v>
      </c>
      <c r="H281" s="2" t="s">
        <v>100</v>
      </c>
      <c r="I281" s="2" t="s">
        <v>100</v>
      </c>
      <c r="J281" s="2" t="s">
        <v>16</v>
      </c>
      <c r="K281" s="2" t="s">
        <v>22</v>
      </c>
      <c r="L281" s="2">
        <v>2</v>
      </c>
      <c r="M281" s="2">
        <v>32730</v>
      </c>
      <c r="N281" s="2">
        <v>20</v>
      </c>
      <c r="O281" s="2">
        <v>52368</v>
      </c>
      <c r="P281" s="6">
        <v>9145.7999999999993</v>
      </c>
    </row>
    <row r="282" spans="1:16" x14ac:dyDescent="0.3">
      <c r="A282" s="5" t="s">
        <v>570</v>
      </c>
      <c r="B282" s="2" t="s">
        <v>571</v>
      </c>
      <c r="C282" s="2" t="str">
        <f t="shared" si="4"/>
        <v>December</v>
      </c>
      <c r="D282" s="2" t="s">
        <v>4</v>
      </c>
      <c r="E282" s="2" t="s">
        <v>67</v>
      </c>
      <c r="F282" s="2" t="s">
        <v>68</v>
      </c>
      <c r="G282" s="2" t="s">
        <v>8</v>
      </c>
      <c r="H282" s="2" t="s">
        <v>64</v>
      </c>
      <c r="I282" s="2" t="s">
        <v>64</v>
      </c>
      <c r="J282" s="2" t="s">
        <v>12</v>
      </c>
      <c r="K282" s="2" t="s">
        <v>22</v>
      </c>
      <c r="L282" s="2">
        <v>7</v>
      </c>
      <c r="M282" s="2">
        <v>46499</v>
      </c>
      <c r="N282" s="2">
        <v>15</v>
      </c>
      <c r="O282" s="2">
        <v>276669.05</v>
      </c>
      <c r="P282" s="6">
        <v>62863.03</v>
      </c>
    </row>
    <row r="283" spans="1:16" x14ac:dyDescent="0.3">
      <c r="A283" s="5" t="s">
        <v>572</v>
      </c>
      <c r="B283" s="2" t="s">
        <v>223</v>
      </c>
      <c r="C283" s="2" t="str">
        <f t="shared" si="4"/>
        <v>December</v>
      </c>
      <c r="D283" s="2" t="s">
        <v>4</v>
      </c>
      <c r="E283" s="2" t="s">
        <v>62</v>
      </c>
      <c r="F283" s="2" t="s">
        <v>63</v>
      </c>
      <c r="G283" s="2" t="s">
        <v>8</v>
      </c>
      <c r="H283" s="2" t="s">
        <v>133</v>
      </c>
      <c r="I283" s="2" t="s">
        <v>133</v>
      </c>
      <c r="J283" s="2" t="s">
        <v>19</v>
      </c>
      <c r="K283" s="2" t="s">
        <v>22</v>
      </c>
      <c r="L283" s="2">
        <v>1</v>
      </c>
      <c r="M283" s="2">
        <v>42454</v>
      </c>
      <c r="N283" s="2">
        <v>20</v>
      </c>
      <c r="O283" s="2">
        <v>33963.199999999997</v>
      </c>
      <c r="P283" s="6">
        <v>10077.69</v>
      </c>
    </row>
    <row r="284" spans="1:16" x14ac:dyDescent="0.3">
      <c r="A284" s="5" t="s">
        <v>573</v>
      </c>
      <c r="B284" s="2" t="s">
        <v>574</v>
      </c>
      <c r="C284" s="2" t="str">
        <f t="shared" si="4"/>
        <v>June</v>
      </c>
      <c r="D284" s="2" t="s">
        <v>2</v>
      </c>
      <c r="E284" s="2" t="s">
        <v>103</v>
      </c>
      <c r="F284" s="2" t="s">
        <v>104</v>
      </c>
      <c r="G284" s="2" t="s">
        <v>10</v>
      </c>
      <c r="H284" s="2" t="s">
        <v>100</v>
      </c>
      <c r="I284" s="2" t="s">
        <v>100</v>
      </c>
      <c r="J284" s="2" t="s">
        <v>14</v>
      </c>
      <c r="K284" s="2" t="s">
        <v>21</v>
      </c>
      <c r="L284" s="2">
        <v>7</v>
      </c>
      <c r="M284" s="2">
        <v>4396</v>
      </c>
      <c r="N284" s="2">
        <v>15</v>
      </c>
      <c r="O284" s="2">
        <v>26156.2</v>
      </c>
      <c r="P284" s="6">
        <v>1699.04</v>
      </c>
    </row>
    <row r="285" spans="1:16" x14ac:dyDescent="0.3">
      <c r="A285" s="5" t="s">
        <v>575</v>
      </c>
      <c r="B285" s="2" t="s">
        <v>576</v>
      </c>
      <c r="C285" s="2" t="str">
        <f t="shared" si="4"/>
        <v>November</v>
      </c>
      <c r="D285" s="2" t="s">
        <v>4</v>
      </c>
      <c r="E285" s="2" t="s">
        <v>67</v>
      </c>
      <c r="F285" s="2" t="s">
        <v>68</v>
      </c>
      <c r="G285" s="2" t="s">
        <v>10</v>
      </c>
      <c r="H285" s="2" t="s">
        <v>100</v>
      </c>
      <c r="I285" s="2" t="s">
        <v>100</v>
      </c>
      <c r="J285" s="2" t="s">
        <v>19</v>
      </c>
      <c r="K285" s="2" t="s">
        <v>21</v>
      </c>
      <c r="L285" s="2">
        <v>9</v>
      </c>
      <c r="M285" s="2">
        <v>34532</v>
      </c>
      <c r="N285" s="2">
        <v>20</v>
      </c>
      <c r="O285" s="2">
        <v>248630.39999999999</v>
      </c>
      <c r="P285" s="6">
        <v>25111.27</v>
      </c>
    </row>
    <row r="286" spans="1:16" x14ac:dyDescent="0.3">
      <c r="A286" s="5" t="s">
        <v>577</v>
      </c>
      <c r="B286" s="2" t="s">
        <v>578</v>
      </c>
      <c r="C286" s="2" t="str">
        <f t="shared" si="4"/>
        <v>February</v>
      </c>
      <c r="D286" s="2" t="s">
        <v>4</v>
      </c>
      <c r="E286" s="2" t="s">
        <v>62</v>
      </c>
      <c r="F286" s="2" t="s">
        <v>63</v>
      </c>
      <c r="G286" s="2" t="s">
        <v>9</v>
      </c>
      <c r="H286" s="2" t="s">
        <v>90</v>
      </c>
      <c r="I286" s="2" t="s">
        <v>90</v>
      </c>
      <c r="J286" s="2" t="s">
        <v>15</v>
      </c>
      <c r="K286" s="2" t="s">
        <v>21</v>
      </c>
      <c r="L286" s="2">
        <v>1</v>
      </c>
      <c r="M286" s="2">
        <v>37266</v>
      </c>
      <c r="N286" s="2">
        <v>10</v>
      </c>
      <c r="O286" s="2">
        <v>33539.4</v>
      </c>
      <c r="P286" s="6">
        <v>5655.86</v>
      </c>
    </row>
    <row r="287" spans="1:16" x14ac:dyDescent="0.3">
      <c r="A287" s="5" t="s">
        <v>579</v>
      </c>
      <c r="B287" s="2" t="s">
        <v>302</v>
      </c>
      <c r="C287" s="2" t="str">
        <f t="shared" si="4"/>
        <v>April</v>
      </c>
      <c r="D287" s="2" t="s">
        <v>3</v>
      </c>
      <c r="E287" s="2" t="s">
        <v>75</v>
      </c>
      <c r="F287" s="2" t="s">
        <v>75</v>
      </c>
      <c r="G287" s="2" t="s">
        <v>10</v>
      </c>
      <c r="H287" s="2" t="s">
        <v>83</v>
      </c>
      <c r="I287" s="2" t="s">
        <v>83</v>
      </c>
      <c r="J287" s="2" t="s">
        <v>15</v>
      </c>
      <c r="K287" s="2" t="s">
        <v>21</v>
      </c>
      <c r="L287" s="2">
        <v>9</v>
      </c>
      <c r="M287" s="2">
        <v>46303</v>
      </c>
      <c r="N287" s="2">
        <v>10</v>
      </c>
      <c r="O287" s="2">
        <v>375054.3</v>
      </c>
      <c r="P287" s="6">
        <v>42957</v>
      </c>
    </row>
    <row r="288" spans="1:16" x14ac:dyDescent="0.3">
      <c r="A288" s="5" t="s">
        <v>580</v>
      </c>
      <c r="B288" s="2" t="s">
        <v>581</v>
      </c>
      <c r="C288" s="2" t="str">
        <f t="shared" si="4"/>
        <v>June</v>
      </c>
      <c r="D288" s="2" t="s">
        <v>2</v>
      </c>
      <c r="E288" s="2" t="s">
        <v>81</v>
      </c>
      <c r="F288" s="2" t="s">
        <v>82</v>
      </c>
      <c r="G288" s="2" t="s">
        <v>10</v>
      </c>
      <c r="H288" s="2" t="s">
        <v>69</v>
      </c>
      <c r="I288" s="2" t="s">
        <v>69</v>
      </c>
      <c r="J288" s="2" t="s">
        <v>15</v>
      </c>
      <c r="K288" s="2" t="s">
        <v>22</v>
      </c>
      <c r="L288" s="2">
        <v>7</v>
      </c>
      <c r="M288" s="2">
        <v>2309</v>
      </c>
      <c r="N288" s="2">
        <v>5</v>
      </c>
      <c r="O288" s="2">
        <v>15354.85</v>
      </c>
      <c r="P288" s="6">
        <v>1515.52</v>
      </c>
    </row>
    <row r="289" spans="1:16" x14ac:dyDescent="0.3">
      <c r="A289" s="5" t="s">
        <v>582</v>
      </c>
      <c r="B289" s="2" t="s">
        <v>583</v>
      </c>
      <c r="C289" s="2" t="str">
        <f t="shared" si="4"/>
        <v>December</v>
      </c>
      <c r="D289" s="2" t="s">
        <v>4</v>
      </c>
      <c r="E289" s="2" t="s">
        <v>62</v>
      </c>
      <c r="F289" s="2" t="s">
        <v>63</v>
      </c>
      <c r="G289" s="2" t="s">
        <v>10</v>
      </c>
      <c r="H289" s="2" t="s">
        <v>83</v>
      </c>
      <c r="I289" s="2" t="s">
        <v>83</v>
      </c>
      <c r="J289" s="2" t="s">
        <v>13</v>
      </c>
      <c r="K289" s="2" t="s">
        <v>21</v>
      </c>
      <c r="L289" s="2">
        <v>4</v>
      </c>
      <c r="M289" s="2">
        <v>6508</v>
      </c>
      <c r="N289" s="2">
        <v>10</v>
      </c>
      <c r="O289" s="2">
        <v>23428.799999999999</v>
      </c>
      <c r="P289" s="6">
        <v>5796.02</v>
      </c>
    </row>
    <row r="290" spans="1:16" x14ac:dyDescent="0.3">
      <c r="A290" s="5" t="s">
        <v>584</v>
      </c>
      <c r="B290" s="2" t="s">
        <v>585</v>
      </c>
      <c r="C290" s="2" t="str">
        <f t="shared" si="4"/>
        <v>January</v>
      </c>
      <c r="D290" s="2" t="s">
        <v>5</v>
      </c>
      <c r="E290" s="2" t="s">
        <v>52</v>
      </c>
      <c r="F290" s="2" t="s">
        <v>53</v>
      </c>
      <c r="G290" s="2" t="s">
        <v>8</v>
      </c>
      <c r="H290" s="2" t="s">
        <v>76</v>
      </c>
      <c r="I290" s="2" t="s">
        <v>76</v>
      </c>
      <c r="J290" s="2" t="s">
        <v>15</v>
      </c>
      <c r="K290" s="2" t="s">
        <v>21</v>
      </c>
      <c r="L290" s="2">
        <v>4</v>
      </c>
      <c r="M290" s="2">
        <v>39009</v>
      </c>
      <c r="N290" s="2">
        <v>0</v>
      </c>
      <c r="O290" s="2">
        <v>156036</v>
      </c>
      <c r="P290" s="6">
        <v>33991.870000000003</v>
      </c>
    </row>
    <row r="291" spans="1:16" x14ac:dyDescent="0.3">
      <c r="A291" s="5" t="s">
        <v>586</v>
      </c>
      <c r="B291" s="2" t="s">
        <v>385</v>
      </c>
      <c r="C291" s="2" t="str">
        <f t="shared" si="4"/>
        <v>January</v>
      </c>
      <c r="D291" s="2" t="s">
        <v>4</v>
      </c>
      <c r="E291" s="2" t="s">
        <v>67</v>
      </c>
      <c r="F291" s="2" t="s">
        <v>68</v>
      </c>
      <c r="G291" s="2" t="s">
        <v>8</v>
      </c>
      <c r="H291" s="2" t="s">
        <v>133</v>
      </c>
      <c r="I291" s="2" t="s">
        <v>133</v>
      </c>
      <c r="J291" s="2" t="s">
        <v>12</v>
      </c>
      <c r="K291" s="2" t="s">
        <v>21</v>
      </c>
      <c r="L291" s="2">
        <v>4</v>
      </c>
      <c r="M291" s="2">
        <v>3892</v>
      </c>
      <c r="N291" s="2">
        <v>5</v>
      </c>
      <c r="O291" s="2">
        <v>14789.6</v>
      </c>
      <c r="P291" s="6">
        <v>4029.69</v>
      </c>
    </row>
    <row r="292" spans="1:16" x14ac:dyDescent="0.3">
      <c r="A292" s="5" t="s">
        <v>587</v>
      </c>
      <c r="B292" s="2" t="s">
        <v>588</v>
      </c>
      <c r="C292" s="2" t="str">
        <f t="shared" si="4"/>
        <v>September</v>
      </c>
      <c r="D292" s="2" t="s">
        <v>3</v>
      </c>
      <c r="E292" s="2" t="s">
        <v>75</v>
      </c>
      <c r="F292" s="2" t="s">
        <v>75</v>
      </c>
      <c r="G292" s="2" t="s">
        <v>8</v>
      </c>
      <c r="H292" s="2" t="s">
        <v>76</v>
      </c>
      <c r="I292" s="2" t="s">
        <v>76</v>
      </c>
      <c r="J292" s="2" t="s">
        <v>18</v>
      </c>
      <c r="K292" s="2" t="s">
        <v>21</v>
      </c>
      <c r="L292" s="2">
        <v>4</v>
      </c>
      <c r="M292" s="2">
        <v>15359</v>
      </c>
      <c r="N292" s="2">
        <v>20</v>
      </c>
      <c r="O292" s="2">
        <v>49148.800000000003</v>
      </c>
      <c r="P292" s="6">
        <v>12326.93</v>
      </c>
    </row>
    <row r="293" spans="1:16" x14ac:dyDescent="0.3">
      <c r="A293" s="5" t="s">
        <v>589</v>
      </c>
      <c r="B293" s="2" t="s">
        <v>385</v>
      </c>
      <c r="C293" s="2" t="str">
        <f t="shared" si="4"/>
        <v>January</v>
      </c>
      <c r="D293" s="2" t="s">
        <v>4</v>
      </c>
      <c r="E293" s="2" t="s">
        <v>62</v>
      </c>
      <c r="F293" s="2" t="s">
        <v>63</v>
      </c>
      <c r="G293" s="2" t="s">
        <v>9</v>
      </c>
      <c r="H293" s="2" t="s">
        <v>90</v>
      </c>
      <c r="I293" s="2" t="s">
        <v>90</v>
      </c>
      <c r="J293" s="2" t="s">
        <v>12</v>
      </c>
      <c r="K293" s="2" t="s">
        <v>21</v>
      </c>
      <c r="L293" s="2">
        <v>9</v>
      </c>
      <c r="M293" s="2">
        <v>23064</v>
      </c>
      <c r="N293" s="2">
        <v>10</v>
      </c>
      <c r="O293" s="2">
        <v>186818.4</v>
      </c>
      <c r="P293" s="6">
        <v>38025.94</v>
      </c>
    </row>
    <row r="294" spans="1:16" x14ac:dyDescent="0.3">
      <c r="A294" s="5" t="s">
        <v>590</v>
      </c>
      <c r="B294" s="2" t="s">
        <v>578</v>
      </c>
      <c r="C294" s="2" t="str">
        <f t="shared" si="4"/>
        <v>February</v>
      </c>
      <c r="D294" s="2" t="s">
        <v>3</v>
      </c>
      <c r="E294" s="2" t="s">
        <v>75</v>
      </c>
      <c r="F294" s="2" t="s">
        <v>75</v>
      </c>
      <c r="G294" s="2" t="s">
        <v>8</v>
      </c>
      <c r="H294" s="2" t="s">
        <v>93</v>
      </c>
      <c r="I294" s="2" t="s">
        <v>93</v>
      </c>
      <c r="J294" s="2" t="s">
        <v>18</v>
      </c>
      <c r="K294" s="2" t="s">
        <v>22</v>
      </c>
      <c r="L294" s="2">
        <v>4</v>
      </c>
      <c r="M294" s="2">
        <v>49384</v>
      </c>
      <c r="N294" s="2">
        <v>10</v>
      </c>
      <c r="O294" s="2">
        <v>177782.39999999999</v>
      </c>
      <c r="P294" s="6">
        <v>43307.31</v>
      </c>
    </row>
    <row r="295" spans="1:16" x14ac:dyDescent="0.3">
      <c r="A295" s="5" t="s">
        <v>591</v>
      </c>
      <c r="B295" s="2" t="s">
        <v>497</v>
      </c>
      <c r="C295" s="2" t="str">
        <f t="shared" si="4"/>
        <v>August</v>
      </c>
      <c r="D295" s="2" t="s">
        <v>4</v>
      </c>
      <c r="E295" s="2" t="s">
        <v>62</v>
      </c>
      <c r="F295" s="2" t="s">
        <v>63</v>
      </c>
      <c r="G295" s="2" t="s">
        <v>10</v>
      </c>
      <c r="H295" s="2" t="s">
        <v>69</v>
      </c>
      <c r="I295" s="2" t="s">
        <v>69</v>
      </c>
      <c r="J295" s="2" t="s">
        <v>15</v>
      </c>
      <c r="K295" s="2" t="s">
        <v>21</v>
      </c>
      <c r="L295" s="2">
        <v>5</v>
      </c>
      <c r="M295" s="2">
        <v>13561</v>
      </c>
      <c r="N295" s="2">
        <v>20</v>
      </c>
      <c r="O295" s="2">
        <v>54244</v>
      </c>
      <c r="P295" s="6">
        <v>3554.88</v>
      </c>
    </row>
    <row r="296" spans="1:16" x14ac:dyDescent="0.3">
      <c r="A296" s="5" t="s">
        <v>592</v>
      </c>
      <c r="B296" s="2" t="s">
        <v>206</v>
      </c>
      <c r="C296" s="2" t="str">
        <f t="shared" si="4"/>
        <v>May</v>
      </c>
      <c r="D296" s="2" t="s">
        <v>3</v>
      </c>
      <c r="E296" s="2" t="s">
        <v>75</v>
      </c>
      <c r="F296" s="2" t="s">
        <v>75</v>
      </c>
      <c r="G296" s="2" t="s">
        <v>9</v>
      </c>
      <c r="H296" s="2" t="s">
        <v>126</v>
      </c>
      <c r="I296" s="2" t="s">
        <v>126</v>
      </c>
      <c r="J296" s="2" t="s">
        <v>17</v>
      </c>
      <c r="K296" s="2" t="s">
        <v>22</v>
      </c>
      <c r="L296" s="2">
        <v>5</v>
      </c>
      <c r="M296" s="2">
        <v>24631</v>
      </c>
      <c r="N296" s="2">
        <v>0</v>
      </c>
      <c r="O296" s="2">
        <v>123155</v>
      </c>
      <c r="P296" s="6">
        <v>8201.2099999999991</v>
      </c>
    </row>
    <row r="297" spans="1:16" x14ac:dyDescent="0.3">
      <c r="A297" s="5" t="s">
        <v>593</v>
      </c>
      <c r="B297" s="2" t="s">
        <v>594</v>
      </c>
      <c r="C297" s="2" t="str">
        <f t="shared" si="4"/>
        <v>March</v>
      </c>
      <c r="D297" s="2" t="s">
        <v>3</v>
      </c>
      <c r="E297" s="2" t="s">
        <v>75</v>
      </c>
      <c r="F297" s="2" t="s">
        <v>75</v>
      </c>
      <c r="G297" s="2" t="s">
        <v>8</v>
      </c>
      <c r="H297" s="2" t="s">
        <v>133</v>
      </c>
      <c r="I297" s="2" t="s">
        <v>133</v>
      </c>
      <c r="J297" s="2" t="s">
        <v>16</v>
      </c>
      <c r="K297" s="2" t="s">
        <v>22</v>
      </c>
      <c r="L297" s="2">
        <v>9</v>
      </c>
      <c r="M297" s="2">
        <v>20786</v>
      </c>
      <c r="N297" s="2">
        <v>5</v>
      </c>
      <c r="O297" s="2">
        <v>177720.3</v>
      </c>
      <c r="P297" s="6">
        <v>36994.959999999999</v>
      </c>
    </row>
    <row r="298" spans="1:16" x14ac:dyDescent="0.3">
      <c r="A298" s="5" t="s">
        <v>595</v>
      </c>
      <c r="B298" s="2" t="s">
        <v>260</v>
      </c>
      <c r="C298" s="2" t="str">
        <f t="shared" si="4"/>
        <v>May</v>
      </c>
      <c r="D298" s="2" t="s">
        <v>4</v>
      </c>
      <c r="E298" s="2" t="s">
        <v>62</v>
      </c>
      <c r="F298" s="2" t="s">
        <v>63</v>
      </c>
      <c r="G298" s="2" t="s">
        <v>9</v>
      </c>
      <c r="H298" s="2" t="s">
        <v>72</v>
      </c>
      <c r="I298" s="2" t="s">
        <v>72</v>
      </c>
      <c r="J298" s="2" t="s">
        <v>15</v>
      </c>
      <c r="K298" s="2" t="s">
        <v>21</v>
      </c>
      <c r="L298" s="2">
        <v>7</v>
      </c>
      <c r="M298" s="2">
        <v>22775</v>
      </c>
      <c r="N298" s="2">
        <v>10</v>
      </c>
      <c r="O298" s="2">
        <v>143482.5</v>
      </c>
      <c r="P298" s="6">
        <v>11132.03</v>
      </c>
    </row>
    <row r="299" spans="1:16" x14ac:dyDescent="0.3">
      <c r="A299" s="5" t="s">
        <v>596</v>
      </c>
      <c r="B299" s="2" t="s">
        <v>535</v>
      </c>
      <c r="C299" s="2" t="str">
        <f t="shared" si="4"/>
        <v>July</v>
      </c>
      <c r="D299" s="2" t="s">
        <v>2</v>
      </c>
      <c r="E299" s="2" t="s">
        <v>103</v>
      </c>
      <c r="F299" s="2" t="s">
        <v>104</v>
      </c>
      <c r="G299" s="2" t="s">
        <v>9</v>
      </c>
      <c r="H299" s="2" t="s">
        <v>72</v>
      </c>
      <c r="I299" s="2" t="s">
        <v>72</v>
      </c>
      <c r="J299" s="2" t="s">
        <v>13</v>
      </c>
      <c r="K299" s="2" t="s">
        <v>21</v>
      </c>
      <c r="L299" s="2">
        <v>2</v>
      </c>
      <c r="M299" s="2">
        <v>34747</v>
      </c>
      <c r="N299" s="2">
        <v>5</v>
      </c>
      <c r="O299" s="2">
        <v>66019.3</v>
      </c>
      <c r="P299" s="6">
        <v>13599.3</v>
      </c>
    </row>
    <row r="300" spans="1:16" x14ac:dyDescent="0.3">
      <c r="A300" s="5" t="s">
        <v>597</v>
      </c>
      <c r="B300" s="2" t="s">
        <v>114</v>
      </c>
      <c r="C300" s="2" t="str">
        <f t="shared" si="4"/>
        <v>March</v>
      </c>
      <c r="D300" s="2" t="s">
        <v>3</v>
      </c>
      <c r="E300" s="2" t="s">
        <v>117</v>
      </c>
      <c r="F300" s="2" t="s">
        <v>117</v>
      </c>
      <c r="G300" s="2" t="s">
        <v>10</v>
      </c>
      <c r="H300" s="2" t="s">
        <v>100</v>
      </c>
      <c r="I300" s="2" t="s">
        <v>100</v>
      </c>
      <c r="J300" s="2" t="s">
        <v>17</v>
      </c>
      <c r="K300" s="2" t="s">
        <v>21</v>
      </c>
      <c r="L300" s="2">
        <v>6</v>
      </c>
      <c r="M300" s="2">
        <v>7715</v>
      </c>
      <c r="N300" s="2">
        <v>10</v>
      </c>
      <c r="O300" s="2">
        <v>41661</v>
      </c>
      <c r="P300" s="6">
        <v>6456.56</v>
      </c>
    </row>
    <row r="301" spans="1:16" x14ac:dyDescent="0.3">
      <c r="A301" s="5" t="s">
        <v>598</v>
      </c>
      <c r="B301" s="2" t="s">
        <v>599</v>
      </c>
      <c r="C301" s="2" t="str">
        <f t="shared" si="4"/>
        <v>June</v>
      </c>
      <c r="D301" s="2" t="s">
        <v>5</v>
      </c>
      <c r="E301" s="2" t="s">
        <v>52</v>
      </c>
      <c r="F301" s="2" t="s">
        <v>53</v>
      </c>
      <c r="G301" s="2" t="s">
        <v>9</v>
      </c>
      <c r="H301" s="2" t="s">
        <v>59</v>
      </c>
      <c r="I301" s="2" t="s">
        <v>59</v>
      </c>
      <c r="J301" s="2" t="s">
        <v>18</v>
      </c>
      <c r="K301" s="2" t="s">
        <v>22</v>
      </c>
      <c r="L301" s="2">
        <v>3</v>
      </c>
      <c r="M301" s="2">
        <v>43215</v>
      </c>
      <c r="N301" s="2">
        <v>10</v>
      </c>
      <c r="O301" s="2">
        <v>116680.5</v>
      </c>
      <c r="P301" s="6">
        <v>32896.21</v>
      </c>
    </row>
    <row r="302" spans="1:16" x14ac:dyDescent="0.3">
      <c r="A302" s="5" t="s">
        <v>600</v>
      </c>
      <c r="B302" s="2" t="s">
        <v>601</v>
      </c>
      <c r="C302" s="2" t="str">
        <f t="shared" si="4"/>
        <v>November</v>
      </c>
      <c r="D302" s="2" t="s">
        <v>4</v>
      </c>
      <c r="E302" s="2" t="s">
        <v>67</v>
      </c>
      <c r="F302" s="2" t="s">
        <v>68</v>
      </c>
      <c r="G302" s="2" t="s">
        <v>8</v>
      </c>
      <c r="H302" s="2" t="s">
        <v>93</v>
      </c>
      <c r="I302" s="2" t="s">
        <v>93</v>
      </c>
      <c r="J302" s="2" t="s">
        <v>15</v>
      </c>
      <c r="K302" s="2" t="s">
        <v>21</v>
      </c>
      <c r="L302" s="2">
        <v>1</v>
      </c>
      <c r="M302" s="2">
        <v>41695</v>
      </c>
      <c r="N302" s="2">
        <v>0</v>
      </c>
      <c r="O302" s="2">
        <v>41695</v>
      </c>
      <c r="P302" s="6">
        <v>4818.25</v>
      </c>
    </row>
    <row r="303" spans="1:16" x14ac:dyDescent="0.3">
      <c r="A303" s="5" t="s">
        <v>602</v>
      </c>
      <c r="B303" s="2" t="s">
        <v>603</v>
      </c>
      <c r="C303" s="2" t="str">
        <f t="shared" si="4"/>
        <v>April</v>
      </c>
      <c r="D303" s="2" t="s">
        <v>3</v>
      </c>
      <c r="E303" s="2" t="s">
        <v>117</v>
      </c>
      <c r="F303" s="2" t="s">
        <v>117</v>
      </c>
      <c r="G303" s="2" t="s">
        <v>8</v>
      </c>
      <c r="H303" s="2" t="s">
        <v>133</v>
      </c>
      <c r="I303" s="2" t="s">
        <v>133</v>
      </c>
      <c r="J303" s="2" t="s">
        <v>16</v>
      </c>
      <c r="K303" s="2" t="s">
        <v>21</v>
      </c>
      <c r="L303" s="2">
        <v>4</v>
      </c>
      <c r="M303" s="2">
        <v>19437</v>
      </c>
      <c r="N303" s="2">
        <v>20</v>
      </c>
      <c r="O303" s="2">
        <v>62198.400000000001</v>
      </c>
      <c r="P303" s="6">
        <v>5855.1</v>
      </c>
    </row>
    <row r="304" spans="1:16" x14ac:dyDescent="0.3">
      <c r="A304" s="5" t="s">
        <v>604</v>
      </c>
      <c r="B304" s="2" t="s">
        <v>247</v>
      </c>
      <c r="C304" s="2" t="str">
        <f t="shared" si="4"/>
        <v>May</v>
      </c>
      <c r="D304" s="2" t="s">
        <v>3</v>
      </c>
      <c r="E304" s="2" t="s">
        <v>117</v>
      </c>
      <c r="F304" s="2" t="s">
        <v>117</v>
      </c>
      <c r="G304" s="2" t="s">
        <v>10</v>
      </c>
      <c r="H304" s="2" t="s">
        <v>69</v>
      </c>
      <c r="I304" s="2" t="s">
        <v>69</v>
      </c>
      <c r="J304" s="2" t="s">
        <v>12</v>
      </c>
      <c r="K304" s="2" t="s">
        <v>21</v>
      </c>
      <c r="L304" s="2">
        <v>5</v>
      </c>
      <c r="M304" s="2">
        <v>23719</v>
      </c>
      <c r="N304" s="2">
        <v>10</v>
      </c>
      <c r="O304" s="2">
        <v>106735.5</v>
      </c>
      <c r="P304" s="6">
        <v>7403.94</v>
      </c>
    </row>
    <row r="305" spans="1:16" x14ac:dyDescent="0.3">
      <c r="A305" s="5" t="s">
        <v>605</v>
      </c>
      <c r="B305" s="2" t="s">
        <v>606</v>
      </c>
      <c r="C305" s="2" t="str">
        <f t="shared" si="4"/>
        <v>June</v>
      </c>
      <c r="D305" s="2" t="s">
        <v>4</v>
      </c>
      <c r="E305" s="2" t="s">
        <v>67</v>
      </c>
      <c r="F305" s="2" t="s">
        <v>68</v>
      </c>
      <c r="G305" s="2" t="s">
        <v>9</v>
      </c>
      <c r="H305" s="2" t="s">
        <v>126</v>
      </c>
      <c r="I305" s="2" t="s">
        <v>126</v>
      </c>
      <c r="J305" s="2" t="s">
        <v>15</v>
      </c>
      <c r="K305" s="2" t="s">
        <v>21</v>
      </c>
      <c r="L305" s="2">
        <v>10</v>
      </c>
      <c r="M305" s="2">
        <v>17228</v>
      </c>
      <c r="N305" s="2">
        <v>0</v>
      </c>
      <c r="O305" s="2">
        <v>172280</v>
      </c>
      <c r="P305" s="6">
        <v>46008.59</v>
      </c>
    </row>
    <row r="306" spans="1:16" x14ac:dyDescent="0.3">
      <c r="A306" s="5" t="s">
        <v>607</v>
      </c>
      <c r="B306" s="2" t="s">
        <v>253</v>
      </c>
      <c r="C306" s="2" t="str">
        <f t="shared" si="4"/>
        <v>October</v>
      </c>
      <c r="D306" s="2" t="s">
        <v>2</v>
      </c>
      <c r="E306" s="2" t="s">
        <v>81</v>
      </c>
      <c r="F306" s="2" t="s">
        <v>82</v>
      </c>
      <c r="G306" s="2" t="s">
        <v>10</v>
      </c>
      <c r="H306" s="2" t="s">
        <v>69</v>
      </c>
      <c r="I306" s="2" t="s">
        <v>69</v>
      </c>
      <c r="J306" s="2" t="s">
        <v>13</v>
      </c>
      <c r="K306" s="2" t="s">
        <v>21</v>
      </c>
      <c r="L306" s="2">
        <v>9</v>
      </c>
      <c r="M306" s="2">
        <v>31695</v>
      </c>
      <c r="N306" s="2">
        <v>10</v>
      </c>
      <c r="O306" s="2">
        <v>256729.5</v>
      </c>
      <c r="P306" s="6">
        <v>28730.9</v>
      </c>
    </row>
    <row r="307" spans="1:16" x14ac:dyDescent="0.3">
      <c r="A307" s="5" t="s">
        <v>608</v>
      </c>
      <c r="B307" s="2" t="s">
        <v>609</v>
      </c>
      <c r="C307" s="2" t="str">
        <f t="shared" si="4"/>
        <v>August</v>
      </c>
      <c r="D307" s="2" t="s">
        <v>4</v>
      </c>
      <c r="E307" s="2" t="s">
        <v>67</v>
      </c>
      <c r="F307" s="2" t="s">
        <v>68</v>
      </c>
      <c r="G307" s="2" t="s">
        <v>9</v>
      </c>
      <c r="H307" s="2" t="s">
        <v>126</v>
      </c>
      <c r="I307" s="2" t="s">
        <v>126</v>
      </c>
      <c r="J307" s="2" t="s">
        <v>13</v>
      </c>
      <c r="K307" s="2" t="s">
        <v>21</v>
      </c>
      <c r="L307" s="2">
        <v>8</v>
      </c>
      <c r="M307" s="2">
        <v>37262</v>
      </c>
      <c r="N307" s="2">
        <v>0</v>
      </c>
      <c r="O307" s="2">
        <v>298096</v>
      </c>
      <c r="P307" s="6">
        <v>34369.769999999997</v>
      </c>
    </row>
    <row r="308" spans="1:16" x14ac:dyDescent="0.3">
      <c r="A308" s="5" t="s">
        <v>610</v>
      </c>
      <c r="B308" s="2" t="s">
        <v>611</v>
      </c>
      <c r="C308" s="2" t="str">
        <f t="shared" si="4"/>
        <v>July</v>
      </c>
      <c r="D308" s="2" t="s">
        <v>5</v>
      </c>
      <c r="E308" s="2" t="s">
        <v>52</v>
      </c>
      <c r="F308" s="2" t="s">
        <v>53</v>
      </c>
      <c r="G308" s="2" t="s">
        <v>10</v>
      </c>
      <c r="H308" s="2" t="s">
        <v>54</v>
      </c>
      <c r="I308" s="2" t="s">
        <v>54</v>
      </c>
      <c r="J308" s="2" t="s">
        <v>12</v>
      </c>
      <c r="K308" s="2" t="s">
        <v>21</v>
      </c>
      <c r="L308" s="2">
        <v>6</v>
      </c>
      <c r="M308" s="2">
        <v>31268</v>
      </c>
      <c r="N308" s="2">
        <v>15</v>
      </c>
      <c r="O308" s="2">
        <v>159466.79999999999</v>
      </c>
      <c r="P308" s="6">
        <v>38012.58</v>
      </c>
    </row>
    <row r="309" spans="1:16" x14ac:dyDescent="0.3">
      <c r="A309" s="5" t="s">
        <v>612</v>
      </c>
      <c r="B309" s="2" t="s">
        <v>613</v>
      </c>
      <c r="C309" s="2" t="str">
        <f t="shared" si="4"/>
        <v>September</v>
      </c>
      <c r="D309" s="2" t="s">
        <v>3</v>
      </c>
      <c r="E309" s="2" t="s">
        <v>117</v>
      </c>
      <c r="F309" s="2" t="s">
        <v>117</v>
      </c>
      <c r="G309" s="2" t="s">
        <v>8</v>
      </c>
      <c r="H309" s="2" t="s">
        <v>64</v>
      </c>
      <c r="I309" s="2" t="s">
        <v>64</v>
      </c>
      <c r="J309" s="2" t="s">
        <v>15</v>
      </c>
      <c r="K309" s="2" t="s">
        <v>21</v>
      </c>
      <c r="L309" s="2">
        <v>7</v>
      </c>
      <c r="M309" s="2">
        <v>35842</v>
      </c>
      <c r="N309" s="2">
        <v>5</v>
      </c>
      <c r="O309" s="2">
        <v>238349.3</v>
      </c>
      <c r="P309" s="6">
        <v>32797.480000000003</v>
      </c>
    </row>
    <row r="310" spans="1:16" x14ac:dyDescent="0.3">
      <c r="A310" s="5" t="s">
        <v>614</v>
      </c>
      <c r="B310" s="2" t="s">
        <v>219</v>
      </c>
      <c r="C310" s="2" t="str">
        <f t="shared" si="4"/>
        <v>April</v>
      </c>
      <c r="D310" s="2" t="s">
        <v>2</v>
      </c>
      <c r="E310" s="2" t="s">
        <v>81</v>
      </c>
      <c r="F310" s="2" t="s">
        <v>82</v>
      </c>
      <c r="G310" s="2" t="s">
        <v>8</v>
      </c>
      <c r="H310" s="2" t="s">
        <v>76</v>
      </c>
      <c r="I310" s="2" t="s">
        <v>76</v>
      </c>
      <c r="J310" s="2" t="s">
        <v>13</v>
      </c>
      <c r="K310" s="2" t="s">
        <v>21</v>
      </c>
      <c r="L310" s="2">
        <v>9</v>
      </c>
      <c r="M310" s="2">
        <v>45201</v>
      </c>
      <c r="N310" s="2">
        <v>20</v>
      </c>
      <c r="O310" s="2">
        <v>325447.2</v>
      </c>
      <c r="P310" s="6">
        <v>54235.63</v>
      </c>
    </row>
    <row r="311" spans="1:16" x14ac:dyDescent="0.3">
      <c r="A311" s="5" t="s">
        <v>615</v>
      </c>
      <c r="B311" s="2" t="s">
        <v>275</v>
      </c>
      <c r="C311" s="2" t="str">
        <f t="shared" si="4"/>
        <v>May</v>
      </c>
      <c r="D311" s="2" t="s">
        <v>4</v>
      </c>
      <c r="E311" s="2" t="s">
        <v>67</v>
      </c>
      <c r="F311" s="2" t="s">
        <v>68</v>
      </c>
      <c r="G311" s="2" t="s">
        <v>9</v>
      </c>
      <c r="H311" s="2" t="s">
        <v>90</v>
      </c>
      <c r="I311" s="2" t="s">
        <v>90</v>
      </c>
      <c r="J311" s="2" t="s">
        <v>18</v>
      </c>
      <c r="K311" s="2" t="s">
        <v>22</v>
      </c>
      <c r="L311" s="2">
        <v>9</v>
      </c>
      <c r="M311" s="2">
        <v>5475</v>
      </c>
      <c r="N311" s="2">
        <v>15</v>
      </c>
      <c r="O311" s="2">
        <v>41883.75</v>
      </c>
      <c r="P311" s="6">
        <v>3863.06</v>
      </c>
    </row>
    <row r="312" spans="1:16" x14ac:dyDescent="0.3">
      <c r="A312" s="5" t="s">
        <v>616</v>
      </c>
      <c r="B312" s="2" t="s">
        <v>617</v>
      </c>
      <c r="C312" s="2" t="str">
        <f t="shared" si="4"/>
        <v>March</v>
      </c>
      <c r="D312" s="2" t="s">
        <v>3</v>
      </c>
      <c r="E312" s="2" t="s">
        <v>75</v>
      </c>
      <c r="F312" s="2" t="s">
        <v>75</v>
      </c>
      <c r="G312" s="2" t="s">
        <v>9</v>
      </c>
      <c r="H312" s="2" t="s">
        <v>72</v>
      </c>
      <c r="I312" s="2" t="s">
        <v>72</v>
      </c>
      <c r="J312" s="2" t="s">
        <v>16</v>
      </c>
      <c r="K312" s="2" t="s">
        <v>21</v>
      </c>
      <c r="L312" s="2">
        <v>10</v>
      </c>
      <c r="M312" s="2">
        <v>24354</v>
      </c>
      <c r="N312" s="2">
        <v>0</v>
      </c>
      <c r="O312" s="2">
        <v>243540</v>
      </c>
      <c r="P312" s="6">
        <v>40824.03</v>
      </c>
    </row>
    <row r="313" spans="1:16" x14ac:dyDescent="0.3">
      <c r="A313" s="5" t="s">
        <v>618</v>
      </c>
      <c r="B313" s="2" t="s">
        <v>228</v>
      </c>
      <c r="C313" s="2" t="str">
        <f t="shared" si="4"/>
        <v>May</v>
      </c>
      <c r="D313" s="2" t="s">
        <v>3</v>
      </c>
      <c r="E313" s="2" t="s">
        <v>75</v>
      </c>
      <c r="F313" s="2" t="s">
        <v>75</v>
      </c>
      <c r="G313" s="2" t="s">
        <v>10</v>
      </c>
      <c r="H313" s="2" t="s">
        <v>83</v>
      </c>
      <c r="I313" s="2" t="s">
        <v>83</v>
      </c>
      <c r="J313" s="2" t="s">
        <v>19</v>
      </c>
      <c r="K313" s="2" t="s">
        <v>22</v>
      </c>
      <c r="L313" s="2">
        <v>10</v>
      </c>
      <c r="M313" s="2">
        <v>28613</v>
      </c>
      <c r="N313" s="2">
        <v>20</v>
      </c>
      <c r="O313" s="2">
        <v>228904</v>
      </c>
      <c r="P313" s="6">
        <v>24262.65</v>
      </c>
    </row>
    <row r="314" spans="1:16" x14ac:dyDescent="0.3">
      <c r="A314" s="5" t="s">
        <v>619</v>
      </c>
      <c r="B314" s="2" t="s">
        <v>620</v>
      </c>
      <c r="C314" s="2" t="str">
        <f t="shared" si="4"/>
        <v>December</v>
      </c>
      <c r="D314" s="2" t="s">
        <v>3</v>
      </c>
      <c r="E314" s="2" t="s">
        <v>75</v>
      </c>
      <c r="F314" s="2" t="s">
        <v>75</v>
      </c>
      <c r="G314" s="2" t="s">
        <v>9</v>
      </c>
      <c r="H314" s="2" t="s">
        <v>90</v>
      </c>
      <c r="I314" s="2" t="s">
        <v>90</v>
      </c>
      <c r="J314" s="2" t="s">
        <v>14</v>
      </c>
      <c r="K314" s="2" t="s">
        <v>21</v>
      </c>
      <c r="L314" s="2">
        <v>1</v>
      </c>
      <c r="M314" s="2">
        <v>49420</v>
      </c>
      <c r="N314" s="2">
        <v>20</v>
      </c>
      <c r="O314" s="2">
        <v>39536</v>
      </c>
      <c r="P314" s="6">
        <v>6875.48</v>
      </c>
    </row>
    <row r="315" spans="1:16" x14ac:dyDescent="0.3">
      <c r="A315" s="5" t="s">
        <v>621</v>
      </c>
      <c r="B315" s="2" t="s">
        <v>622</v>
      </c>
      <c r="C315" s="2" t="str">
        <f t="shared" si="4"/>
        <v>April</v>
      </c>
      <c r="D315" s="2" t="s">
        <v>2</v>
      </c>
      <c r="E315" s="2" t="s">
        <v>81</v>
      </c>
      <c r="F315" s="2" t="s">
        <v>82</v>
      </c>
      <c r="G315" s="2" t="s">
        <v>9</v>
      </c>
      <c r="H315" s="2" t="s">
        <v>126</v>
      </c>
      <c r="I315" s="2" t="s">
        <v>126</v>
      </c>
      <c r="J315" s="2" t="s">
        <v>12</v>
      </c>
      <c r="K315" s="2" t="s">
        <v>22</v>
      </c>
      <c r="L315" s="2">
        <v>10</v>
      </c>
      <c r="M315" s="2">
        <v>45335</v>
      </c>
      <c r="N315" s="2">
        <v>15</v>
      </c>
      <c r="O315" s="2">
        <v>385347.5</v>
      </c>
      <c r="P315" s="6">
        <v>47295.02</v>
      </c>
    </row>
    <row r="316" spans="1:16" x14ac:dyDescent="0.3">
      <c r="A316" s="5" t="s">
        <v>623</v>
      </c>
      <c r="B316" s="2" t="s">
        <v>624</v>
      </c>
      <c r="C316" s="2" t="str">
        <f t="shared" si="4"/>
        <v>May</v>
      </c>
      <c r="D316" s="2" t="s">
        <v>5</v>
      </c>
      <c r="E316" s="2" t="s">
        <v>52</v>
      </c>
      <c r="F316" s="2" t="s">
        <v>53</v>
      </c>
      <c r="G316" s="2" t="s">
        <v>8</v>
      </c>
      <c r="H316" s="2" t="s">
        <v>133</v>
      </c>
      <c r="I316" s="2" t="s">
        <v>133</v>
      </c>
      <c r="J316" s="2" t="s">
        <v>16</v>
      </c>
      <c r="K316" s="2" t="s">
        <v>22</v>
      </c>
      <c r="L316" s="2">
        <v>10</v>
      </c>
      <c r="M316" s="2">
        <v>21363</v>
      </c>
      <c r="N316" s="2">
        <v>5</v>
      </c>
      <c r="O316" s="2">
        <v>202948.5</v>
      </c>
      <c r="P316" s="6">
        <v>22583.84</v>
      </c>
    </row>
    <row r="317" spans="1:16" x14ac:dyDescent="0.3">
      <c r="A317" s="5" t="s">
        <v>625</v>
      </c>
      <c r="B317" s="2" t="s">
        <v>542</v>
      </c>
      <c r="C317" s="2" t="str">
        <f t="shared" si="4"/>
        <v>January</v>
      </c>
      <c r="D317" s="2" t="s">
        <v>4</v>
      </c>
      <c r="E317" s="2" t="s">
        <v>62</v>
      </c>
      <c r="F317" s="2" t="s">
        <v>63</v>
      </c>
      <c r="G317" s="2" t="s">
        <v>9</v>
      </c>
      <c r="H317" s="2" t="s">
        <v>72</v>
      </c>
      <c r="I317" s="2" t="s">
        <v>72</v>
      </c>
      <c r="J317" s="2" t="s">
        <v>16</v>
      </c>
      <c r="K317" s="2" t="s">
        <v>22</v>
      </c>
      <c r="L317" s="2">
        <v>8</v>
      </c>
      <c r="M317" s="2">
        <v>37511</v>
      </c>
      <c r="N317" s="2">
        <v>10</v>
      </c>
      <c r="O317" s="2">
        <v>270079.2</v>
      </c>
      <c r="P317" s="6">
        <v>21892.27</v>
      </c>
    </row>
    <row r="318" spans="1:16" x14ac:dyDescent="0.3">
      <c r="A318" s="5" t="s">
        <v>626</v>
      </c>
      <c r="B318" s="2" t="s">
        <v>554</v>
      </c>
      <c r="C318" s="2" t="str">
        <f t="shared" si="4"/>
        <v>February</v>
      </c>
      <c r="D318" s="2" t="s">
        <v>2</v>
      </c>
      <c r="E318" s="2" t="s">
        <v>103</v>
      </c>
      <c r="F318" s="2" t="s">
        <v>104</v>
      </c>
      <c r="G318" s="2" t="s">
        <v>9</v>
      </c>
      <c r="H318" s="2" t="s">
        <v>90</v>
      </c>
      <c r="I318" s="2" t="s">
        <v>90</v>
      </c>
      <c r="J318" s="2" t="s">
        <v>17</v>
      </c>
      <c r="K318" s="2" t="s">
        <v>22</v>
      </c>
      <c r="L318" s="2">
        <v>6</v>
      </c>
      <c r="M318" s="2">
        <v>16666</v>
      </c>
      <c r="N318" s="2">
        <v>15</v>
      </c>
      <c r="O318" s="2">
        <v>84996.6</v>
      </c>
      <c r="P318" s="6">
        <v>11972.02</v>
      </c>
    </row>
    <row r="319" spans="1:16" x14ac:dyDescent="0.3">
      <c r="A319" s="5" t="s">
        <v>627</v>
      </c>
      <c r="B319" s="2" t="s">
        <v>628</v>
      </c>
      <c r="C319" s="2" t="str">
        <f t="shared" si="4"/>
        <v>August</v>
      </c>
      <c r="D319" s="2" t="s">
        <v>5</v>
      </c>
      <c r="E319" s="2" t="s">
        <v>57</v>
      </c>
      <c r="F319" s="2" t="s">
        <v>58</v>
      </c>
      <c r="G319" s="2" t="s">
        <v>8</v>
      </c>
      <c r="H319" s="2" t="s">
        <v>76</v>
      </c>
      <c r="I319" s="2" t="s">
        <v>76</v>
      </c>
      <c r="J319" s="2" t="s">
        <v>17</v>
      </c>
      <c r="K319" s="2" t="s">
        <v>22</v>
      </c>
      <c r="L319" s="2">
        <v>5</v>
      </c>
      <c r="M319" s="2">
        <v>3262</v>
      </c>
      <c r="N319" s="2">
        <v>5</v>
      </c>
      <c r="O319" s="2">
        <v>15494.5</v>
      </c>
      <c r="P319" s="6">
        <v>4079.14</v>
      </c>
    </row>
    <row r="320" spans="1:16" x14ac:dyDescent="0.3">
      <c r="A320" s="5" t="s">
        <v>629</v>
      </c>
      <c r="B320" s="2" t="s">
        <v>630</v>
      </c>
      <c r="C320" s="2" t="str">
        <f t="shared" si="4"/>
        <v>February</v>
      </c>
      <c r="D320" s="2" t="s">
        <v>3</v>
      </c>
      <c r="E320" s="2" t="s">
        <v>117</v>
      </c>
      <c r="F320" s="2" t="s">
        <v>117</v>
      </c>
      <c r="G320" s="2" t="s">
        <v>8</v>
      </c>
      <c r="H320" s="2" t="s">
        <v>93</v>
      </c>
      <c r="I320" s="2" t="s">
        <v>93</v>
      </c>
      <c r="J320" s="2" t="s">
        <v>15</v>
      </c>
      <c r="K320" s="2" t="s">
        <v>22</v>
      </c>
      <c r="L320" s="2">
        <v>9</v>
      </c>
      <c r="M320" s="2">
        <v>25923</v>
      </c>
      <c r="N320" s="2">
        <v>5</v>
      </c>
      <c r="O320" s="2">
        <v>221641.65</v>
      </c>
      <c r="P320" s="6">
        <v>27495.91</v>
      </c>
    </row>
    <row r="321" spans="1:16" x14ac:dyDescent="0.3">
      <c r="A321" s="5" t="s">
        <v>631</v>
      </c>
      <c r="B321" s="2" t="s">
        <v>632</v>
      </c>
      <c r="C321" s="2" t="str">
        <f t="shared" si="4"/>
        <v>December</v>
      </c>
      <c r="D321" s="2" t="s">
        <v>4</v>
      </c>
      <c r="E321" s="2" t="s">
        <v>67</v>
      </c>
      <c r="F321" s="2" t="s">
        <v>68</v>
      </c>
      <c r="G321" s="2" t="s">
        <v>8</v>
      </c>
      <c r="H321" s="2" t="s">
        <v>64</v>
      </c>
      <c r="I321" s="2" t="s">
        <v>64</v>
      </c>
      <c r="J321" s="2" t="s">
        <v>16</v>
      </c>
      <c r="K321" s="2" t="s">
        <v>21</v>
      </c>
      <c r="L321" s="2">
        <v>10</v>
      </c>
      <c r="M321" s="2">
        <v>48775</v>
      </c>
      <c r="N321" s="2">
        <v>15</v>
      </c>
      <c r="O321" s="2">
        <v>414587.5</v>
      </c>
      <c r="P321" s="6">
        <v>95262.47</v>
      </c>
    </row>
    <row r="322" spans="1:16" x14ac:dyDescent="0.3">
      <c r="A322" s="5" t="s">
        <v>633</v>
      </c>
      <c r="B322" s="2" t="s">
        <v>634</v>
      </c>
      <c r="C322" s="2" t="str">
        <f t="shared" si="4"/>
        <v>October</v>
      </c>
      <c r="D322" s="2" t="s">
        <v>4</v>
      </c>
      <c r="E322" s="2" t="s">
        <v>62</v>
      </c>
      <c r="F322" s="2" t="s">
        <v>63</v>
      </c>
      <c r="G322" s="2" t="s">
        <v>9</v>
      </c>
      <c r="H322" s="2" t="s">
        <v>59</v>
      </c>
      <c r="I322" s="2" t="s">
        <v>59</v>
      </c>
      <c r="J322" s="2" t="s">
        <v>12</v>
      </c>
      <c r="K322" s="2" t="s">
        <v>21</v>
      </c>
      <c r="L322" s="2">
        <v>7</v>
      </c>
      <c r="M322" s="2">
        <v>31724</v>
      </c>
      <c r="N322" s="2">
        <v>20</v>
      </c>
      <c r="O322" s="2">
        <v>177654.39999999999</v>
      </c>
      <c r="P322" s="6">
        <v>23652.33</v>
      </c>
    </row>
    <row r="323" spans="1:16" x14ac:dyDescent="0.3">
      <c r="A323" s="5" t="s">
        <v>635</v>
      </c>
      <c r="B323" s="2" t="s">
        <v>636</v>
      </c>
      <c r="C323" s="2" t="str">
        <f t="shared" ref="C323:C386" si="5">TEXT(B323,"mmmm")</f>
        <v>May</v>
      </c>
      <c r="D323" s="2" t="s">
        <v>2</v>
      </c>
      <c r="E323" s="2" t="s">
        <v>81</v>
      </c>
      <c r="F323" s="2" t="s">
        <v>82</v>
      </c>
      <c r="G323" s="2" t="s">
        <v>8</v>
      </c>
      <c r="H323" s="2" t="s">
        <v>64</v>
      </c>
      <c r="I323" s="2" t="s">
        <v>64</v>
      </c>
      <c r="J323" s="2" t="s">
        <v>14</v>
      </c>
      <c r="K323" s="2" t="s">
        <v>22</v>
      </c>
      <c r="L323" s="2">
        <v>10</v>
      </c>
      <c r="M323" s="2">
        <v>36946</v>
      </c>
      <c r="N323" s="2">
        <v>5</v>
      </c>
      <c r="O323" s="2">
        <v>350987</v>
      </c>
      <c r="P323" s="6">
        <v>32608.77</v>
      </c>
    </row>
    <row r="324" spans="1:16" x14ac:dyDescent="0.3">
      <c r="A324" s="5" t="s">
        <v>637</v>
      </c>
      <c r="B324" s="2" t="s">
        <v>116</v>
      </c>
      <c r="C324" s="2" t="str">
        <f t="shared" si="5"/>
        <v>February</v>
      </c>
      <c r="D324" s="2" t="s">
        <v>4</v>
      </c>
      <c r="E324" s="2" t="s">
        <v>62</v>
      </c>
      <c r="F324" s="2" t="s">
        <v>63</v>
      </c>
      <c r="G324" s="2" t="s">
        <v>9</v>
      </c>
      <c r="H324" s="2" t="s">
        <v>126</v>
      </c>
      <c r="I324" s="2" t="s">
        <v>126</v>
      </c>
      <c r="J324" s="2" t="s">
        <v>17</v>
      </c>
      <c r="K324" s="2" t="s">
        <v>22</v>
      </c>
      <c r="L324" s="2">
        <v>3</v>
      </c>
      <c r="M324" s="2">
        <v>49377</v>
      </c>
      <c r="N324" s="2">
        <v>10</v>
      </c>
      <c r="O324" s="2">
        <v>133317.9</v>
      </c>
      <c r="P324" s="6">
        <v>36635.760000000002</v>
      </c>
    </row>
    <row r="325" spans="1:16" x14ac:dyDescent="0.3">
      <c r="A325" s="5" t="s">
        <v>638</v>
      </c>
      <c r="B325" s="2" t="s">
        <v>639</v>
      </c>
      <c r="C325" s="2" t="str">
        <f t="shared" si="5"/>
        <v>May</v>
      </c>
      <c r="D325" s="2" t="s">
        <v>2</v>
      </c>
      <c r="E325" s="2" t="s">
        <v>103</v>
      </c>
      <c r="F325" s="2" t="s">
        <v>104</v>
      </c>
      <c r="G325" s="2" t="s">
        <v>8</v>
      </c>
      <c r="H325" s="2" t="s">
        <v>76</v>
      </c>
      <c r="I325" s="2" t="s">
        <v>76</v>
      </c>
      <c r="J325" s="2" t="s">
        <v>13</v>
      </c>
      <c r="K325" s="2" t="s">
        <v>21</v>
      </c>
      <c r="L325" s="2">
        <v>6</v>
      </c>
      <c r="M325" s="2">
        <v>43972</v>
      </c>
      <c r="N325" s="2">
        <v>15</v>
      </c>
      <c r="O325" s="2">
        <v>224257.2</v>
      </c>
      <c r="P325" s="6">
        <v>15905.49</v>
      </c>
    </row>
    <row r="326" spans="1:16" x14ac:dyDescent="0.3">
      <c r="A326" s="5" t="s">
        <v>640</v>
      </c>
      <c r="B326" s="2" t="s">
        <v>641</v>
      </c>
      <c r="C326" s="2" t="str">
        <f t="shared" si="5"/>
        <v>March</v>
      </c>
      <c r="D326" s="2" t="s">
        <v>2</v>
      </c>
      <c r="E326" s="2" t="s">
        <v>81</v>
      </c>
      <c r="F326" s="2" t="s">
        <v>82</v>
      </c>
      <c r="G326" s="2" t="s">
        <v>9</v>
      </c>
      <c r="H326" s="2" t="s">
        <v>90</v>
      </c>
      <c r="I326" s="2" t="s">
        <v>90</v>
      </c>
      <c r="J326" s="2" t="s">
        <v>17</v>
      </c>
      <c r="K326" s="2" t="s">
        <v>22</v>
      </c>
      <c r="L326" s="2">
        <v>7</v>
      </c>
      <c r="M326" s="2">
        <v>14904</v>
      </c>
      <c r="N326" s="2">
        <v>20</v>
      </c>
      <c r="O326" s="2">
        <v>83462.399999999994</v>
      </c>
      <c r="P326" s="6">
        <v>17627.14</v>
      </c>
    </row>
    <row r="327" spans="1:16" x14ac:dyDescent="0.3">
      <c r="A327" s="5" t="s">
        <v>642</v>
      </c>
      <c r="B327" s="2" t="s">
        <v>643</v>
      </c>
      <c r="C327" s="2" t="str">
        <f t="shared" si="5"/>
        <v>September</v>
      </c>
      <c r="D327" s="2" t="s">
        <v>4</v>
      </c>
      <c r="E327" s="2" t="s">
        <v>62</v>
      </c>
      <c r="F327" s="2" t="s">
        <v>63</v>
      </c>
      <c r="G327" s="2" t="s">
        <v>10</v>
      </c>
      <c r="H327" s="2" t="s">
        <v>69</v>
      </c>
      <c r="I327" s="2" t="s">
        <v>69</v>
      </c>
      <c r="J327" s="2" t="s">
        <v>12</v>
      </c>
      <c r="K327" s="2" t="s">
        <v>22</v>
      </c>
      <c r="L327" s="2">
        <v>10</v>
      </c>
      <c r="M327" s="2">
        <v>2691</v>
      </c>
      <c r="N327" s="2">
        <v>15</v>
      </c>
      <c r="O327" s="2">
        <v>22873.5</v>
      </c>
      <c r="P327" s="6">
        <v>5144.18</v>
      </c>
    </row>
    <row r="328" spans="1:16" x14ac:dyDescent="0.3">
      <c r="A328" s="5" t="s">
        <v>644</v>
      </c>
      <c r="B328" s="2" t="s">
        <v>518</v>
      </c>
      <c r="C328" s="2" t="str">
        <f t="shared" si="5"/>
        <v>February</v>
      </c>
      <c r="D328" s="2" t="s">
        <v>4</v>
      </c>
      <c r="E328" s="2" t="s">
        <v>62</v>
      </c>
      <c r="F328" s="2" t="s">
        <v>63</v>
      </c>
      <c r="G328" s="2" t="s">
        <v>10</v>
      </c>
      <c r="H328" s="2" t="s">
        <v>100</v>
      </c>
      <c r="I328" s="2" t="s">
        <v>100</v>
      </c>
      <c r="J328" s="2" t="s">
        <v>13</v>
      </c>
      <c r="K328" s="2" t="s">
        <v>21</v>
      </c>
      <c r="L328" s="2">
        <v>8</v>
      </c>
      <c r="M328" s="2">
        <v>12702</v>
      </c>
      <c r="N328" s="2">
        <v>15</v>
      </c>
      <c r="O328" s="2">
        <v>86373.6</v>
      </c>
      <c r="P328" s="6">
        <v>10599.88</v>
      </c>
    </row>
    <row r="329" spans="1:16" x14ac:dyDescent="0.3">
      <c r="A329" s="5" t="s">
        <v>645</v>
      </c>
      <c r="B329" s="2" t="s">
        <v>646</v>
      </c>
      <c r="C329" s="2" t="str">
        <f t="shared" si="5"/>
        <v>April</v>
      </c>
      <c r="D329" s="2" t="s">
        <v>2</v>
      </c>
      <c r="E329" s="2" t="s">
        <v>103</v>
      </c>
      <c r="F329" s="2" t="s">
        <v>104</v>
      </c>
      <c r="G329" s="2" t="s">
        <v>9</v>
      </c>
      <c r="H329" s="2" t="s">
        <v>72</v>
      </c>
      <c r="I329" s="2" t="s">
        <v>72</v>
      </c>
      <c r="J329" s="2" t="s">
        <v>12</v>
      </c>
      <c r="K329" s="2" t="s">
        <v>22</v>
      </c>
      <c r="L329" s="2">
        <v>1</v>
      </c>
      <c r="M329" s="2">
        <v>5571</v>
      </c>
      <c r="N329" s="2">
        <v>15</v>
      </c>
      <c r="O329" s="2">
        <v>4735.3500000000004</v>
      </c>
      <c r="P329" s="6">
        <v>985.08</v>
      </c>
    </row>
    <row r="330" spans="1:16" x14ac:dyDescent="0.3">
      <c r="A330" s="5" t="s">
        <v>647</v>
      </c>
      <c r="B330" s="2" t="s">
        <v>648</v>
      </c>
      <c r="C330" s="2" t="str">
        <f t="shared" si="5"/>
        <v>December</v>
      </c>
      <c r="D330" s="2" t="s">
        <v>5</v>
      </c>
      <c r="E330" s="2" t="s">
        <v>52</v>
      </c>
      <c r="F330" s="2" t="s">
        <v>53</v>
      </c>
      <c r="G330" s="2" t="s">
        <v>8</v>
      </c>
      <c r="H330" s="2" t="s">
        <v>76</v>
      </c>
      <c r="I330" s="2" t="s">
        <v>76</v>
      </c>
      <c r="J330" s="2" t="s">
        <v>16</v>
      </c>
      <c r="K330" s="2" t="s">
        <v>22</v>
      </c>
      <c r="L330" s="2">
        <v>8</v>
      </c>
      <c r="M330" s="2">
        <v>32560</v>
      </c>
      <c r="N330" s="2">
        <v>20</v>
      </c>
      <c r="O330" s="2">
        <v>208384</v>
      </c>
      <c r="P330" s="6">
        <v>17124.349999999999</v>
      </c>
    </row>
    <row r="331" spans="1:16" x14ac:dyDescent="0.3">
      <c r="A331" s="5" t="s">
        <v>649</v>
      </c>
      <c r="B331" s="2" t="s">
        <v>125</v>
      </c>
      <c r="C331" s="2" t="str">
        <f t="shared" si="5"/>
        <v>December</v>
      </c>
      <c r="D331" s="2" t="s">
        <v>4</v>
      </c>
      <c r="E331" s="2" t="s">
        <v>62</v>
      </c>
      <c r="F331" s="2" t="s">
        <v>63</v>
      </c>
      <c r="G331" s="2" t="s">
        <v>8</v>
      </c>
      <c r="H331" s="2" t="s">
        <v>76</v>
      </c>
      <c r="I331" s="2" t="s">
        <v>76</v>
      </c>
      <c r="J331" s="2" t="s">
        <v>12</v>
      </c>
      <c r="K331" s="2" t="s">
        <v>21</v>
      </c>
      <c r="L331" s="2">
        <v>10</v>
      </c>
      <c r="M331" s="2">
        <v>49619</v>
      </c>
      <c r="N331" s="2">
        <v>0</v>
      </c>
      <c r="O331" s="2">
        <v>496190</v>
      </c>
      <c r="P331" s="6">
        <v>89513.01</v>
      </c>
    </row>
    <row r="332" spans="1:16" x14ac:dyDescent="0.3">
      <c r="A332" s="5" t="s">
        <v>650</v>
      </c>
      <c r="B332" s="2" t="s">
        <v>314</v>
      </c>
      <c r="C332" s="2" t="str">
        <f t="shared" si="5"/>
        <v>June</v>
      </c>
      <c r="D332" s="2" t="s">
        <v>5</v>
      </c>
      <c r="E332" s="2" t="s">
        <v>57</v>
      </c>
      <c r="F332" s="2" t="s">
        <v>58</v>
      </c>
      <c r="G332" s="2" t="s">
        <v>10</v>
      </c>
      <c r="H332" s="2" t="s">
        <v>83</v>
      </c>
      <c r="I332" s="2" t="s">
        <v>83</v>
      </c>
      <c r="J332" s="2" t="s">
        <v>13</v>
      </c>
      <c r="K332" s="2" t="s">
        <v>22</v>
      </c>
      <c r="L332" s="2">
        <v>6</v>
      </c>
      <c r="M332" s="2">
        <v>35239</v>
      </c>
      <c r="N332" s="2">
        <v>10</v>
      </c>
      <c r="O332" s="2">
        <v>190290.6</v>
      </c>
      <c r="P332" s="6">
        <v>41646.339999999997</v>
      </c>
    </row>
    <row r="333" spans="1:16" x14ac:dyDescent="0.3">
      <c r="A333" s="5" t="s">
        <v>651</v>
      </c>
      <c r="B333" s="2" t="s">
        <v>652</v>
      </c>
      <c r="C333" s="2" t="str">
        <f t="shared" si="5"/>
        <v>May</v>
      </c>
      <c r="D333" s="2" t="s">
        <v>4</v>
      </c>
      <c r="E333" s="2" t="s">
        <v>62</v>
      </c>
      <c r="F333" s="2" t="s">
        <v>63</v>
      </c>
      <c r="G333" s="2" t="s">
        <v>8</v>
      </c>
      <c r="H333" s="2" t="s">
        <v>64</v>
      </c>
      <c r="I333" s="2" t="s">
        <v>64</v>
      </c>
      <c r="J333" s="2" t="s">
        <v>16</v>
      </c>
      <c r="K333" s="2" t="s">
        <v>22</v>
      </c>
      <c r="L333" s="2">
        <v>6</v>
      </c>
      <c r="M333" s="2">
        <v>27919</v>
      </c>
      <c r="N333" s="2">
        <v>0</v>
      </c>
      <c r="O333" s="2">
        <v>167514</v>
      </c>
      <c r="P333" s="6">
        <v>14469.96</v>
      </c>
    </row>
    <row r="334" spans="1:16" x14ac:dyDescent="0.3">
      <c r="A334" s="5" t="s">
        <v>653</v>
      </c>
      <c r="B334" s="2" t="s">
        <v>654</v>
      </c>
      <c r="C334" s="2" t="str">
        <f t="shared" si="5"/>
        <v>April</v>
      </c>
      <c r="D334" s="2" t="s">
        <v>4</v>
      </c>
      <c r="E334" s="2" t="s">
        <v>67</v>
      </c>
      <c r="F334" s="2" t="s">
        <v>68</v>
      </c>
      <c r="G334" s="2" t="s">
        <v>10</v>
      </c>
      <c r="H334" s="2" t="s">
        <v>54</v>
      </c>
      <c r="I334" s="2" t="s">
        <v>54</v>
      </c>
      <c r="J334" s="2" t="s">
        <v>12</v>
      </c>
      <c r="K334" s="2" t="s">
        <v>21</v>
      </c>
      <c r="L334" s="2">
        <v>1</v>
      </c>
      <c r="M334" s="2">
        <v>25938</v>
      </c>
      <c r="N334" s="2">
        <v>0</v>
      </c>
      <c r="O334" s="2">
        <v>25938</v>
      </c>
      <c r="P334" s="6">
        <v>6916.95</v>
      </c>
    </row>
    <row r="335" spans="1:16" x14ac:dyDescent="0.3">
      <c r="A335" s="5" t="s">
        <v>655</v>
      </c>
      <c r="B335" s="2" t="s">
        <v>420</v>
      </c>
      <c r="C335" s="2" t="str">
        <f t="shared" si="5"/>
        <v>September</v>
      </c>
      <c r="D335" s="2" t="s">
        <v>2</v>
      </c>
      <c r="E335" s="2" t="s">
        <v>103</v>
      </c>
      <c r="F335" s="2" t="s">
        <v>104</v>
      </c>
      <c r="G335" s="2" t="s">
        <v>10</v>
      </c>
      <c r="H335" s="2" t="s">
        <v>83</v>
      </c>
      <c r="I335" s="2" t="s">
        <v>83</v>
      </c>
      <c r="J335" s="2" t="s">
        <v>14</v>
      </c>
      <c r="K335" s="2" t="s">
        <v>22</v>
      </c>
      <c r="L335" s="2">
        <v>9</v>
      </c>
      <c r="M335" s="2">
        <v>23032</v>
      </c>
      <c r="N335" s="2">
        <v>0</v>
      </c>
      <c r="O335" s="2">
        <v>207288</v>
      </c>
      <c r="P335" s="6">
        <v>48935.62</v>
      </c>
    </row>
    <row r="336" spans="1:16" x14ac:dyDescent="0.3">
      <c r="A336" s="5" t="s">
        <v>656</v>
      </c>
      <c r="B336" s="2" t="s">
        <v>92</v>
      </c>
      <c r="C336" s="2" t="str">
        <f t="shared" si="5"/>
        <v>May</v>
      </c>
      <c r="D336" s="2" t="s">
        <v>2</v>
      </c>
      <c r="E336" s="2" t="s">
        <v>81</v>
      </c>
      <c r="F336" s="2" t="s">
        <v>82</v>
      </c>
      <c r="G336" s="2" t="s">
        <v>9</v>
      </c>
      <c r="H336" s="2" t="s">
        <v>90</v>
      </c>
      <c r="I336" s="2" t="s">
        <v>90</v>
      </c>
      <c r="J336" s="2" t="s">
        <v>18</v>
      </c>
      <c r="K336" s="2" t="s">
        <v>21</v>
      </c>
      <c r="L336" s="2">
        <v>9</v>
      </c>
      <c r="M336" s="2">
        <v>15516</v>
      </c>
      <c r="N336" s="2">
        <v>20</v>
      </c>
      <c r="O336" s="2">
        <v>111715.2</v>
      </c>
      <c r="P336" s="6">
        <v>26314.04</v>
      </c>
    </row>
    <row r="337" spans="1:16" x14ac:dyDescent="0.3">
      <c r="A337" s="5" t="s">
        <v>657</v>
      </c>
      <c r="B337" s="2" t="s">
        <v>264</v>
      </c>
      <c r="C337" s="2" t="str">
        <f t="shared" si="5"/>
        <v>June</v>
      </c>
      <c r="D337" s="2" t="s">
        <v>3</v>
      </c>
      <c r="E337" s="2" t="s">
        <v>117</v>
      </c>
      <c r="F337" s="2" t="s">
        <v>117</v>
      </c>
      <c r="G337" s="2" t="s">
        <v>8</v>
      </c>
      <c r="H337" s="2" t="s">
        <v>64</v>
      </c>
      <c r="I337" s="2" t="s">
        <v>64</v>
      </c>
      <c r="J337" s="2" t="s">
        <v>12</v>
      </c>
      <c r="K337" s="2" t="s">
        <v>22</v>
      </c>
      <c r="L337" s="2">
        <v>9</v>
      </c>
      <c r="M337" s="2">
        <v>37664</v>
      </c>
      <c r="N337" s="2">
        <v>15</v>
      </c>
      <c r="O337" s="2">
        <v>288129.59999999998</v>
      </c>
      <c r="P337" s="6">
        <v>71076.55</v>
      </c>
    </row>
    <row r="338" spans="1:16" x14ac:dyDescent="0.3">
      <c r="A338" s="5" t="s">
        <v>658</v>
      </c>
      <c r="B338" s="2" t="s">
        <v>659</v>
      </c>
      <c r="C338" s="2" t="str">
        <f t="shared" si="5"/>
        <v>June</v>
      </c>
      <c r="D338" s="2" t="s">
        <v>4</v>
      </c>
      <c r="E338" s="2" t="s">
        <v>67</v>
      </c>
      <c r="F338" s="2" t="s">
        <v>68</v>
      </c>
      <c r="G338" s="2" t="s">
        <v>9</v>
      </c>
      <c r="H338" s="2" t="s">
        <v>59</v>
      </c>
      <c r="I338" s="2" t="s">
        <v>59</v>
      </c>
      <c r="J338" s="2" t="s">
        <v>16</v>
      </c>
      <c r="K338" s="2" t="s">
        <v>21</v>
      </c>
      <c r="L338" s="2">
        <v>2</v>
      </c>
      <c r="M338" s="2">
        <v>35967</v>
      </c>
      <c r="N338" s="2">
        <v>15</v>
      </c>
      <c r="O338" s="2">
        <v>61143.9</v>
      </c>
      <c r="P338" s="6">
        <v>18194.87</v>
      </c>
    </row>
    <row r="339" spans="1:16" x14ac:dyDescent="0.3">
      <c r="A339" s="5" t="s">
        <v>660</v>
      </c>
      <c r="B339" s="2" t="s">
        <v>661</v>
      </c>
      <c r="C339" s="2" t="str">
        <f t="shared" si="5"/>
        <v>April</v>
      </c>
      <c r="D339" s="2" t="s">
        <v>2</v>
      </c>
      <c r="E339" s="2" t="s">
        <v>81</v>
      </c>
      <c r="F339" s="2" t="s">
        <v>82</v>
      </c>
      <c r="G339" s="2" t="s">
        <v>8</v>
      </c>
      <c r="H339" s="2" t="s">
        <v>76</v>
      </c>
      <c r="I339" s="2" t="s">
        <v>76</v>
      </c>
      <c r="J339" s="2" t="s">
        <v>12</v>
      </c>
      <c r="K339" s="2" t="s">
        <v>21</v>
      </c>
      <c r="L339" s="2">
        <v>5</v>
      </c>
      <c r="M339" s="2">
        <v>45953</v>
      </c>
      <c r="N339" s="2">
        <v>10</v>
      </c>
      <c r="O339" s="2">
        <v>206788.5</v>
      </c>
      <c r="P339" s="6">
        <v>18773.68</v>
      </c>
    </row>
    <row r="340" spans="1:16" x14ac:dyDescent="0.3">
      <c r="A340" s="5" t="s">
        <v>662</v>
      </c>
      <c r="B340" s="2" t="s">
        <v>177</v>
      </c>
      <c r="C340" s="2" t="str">
        <f t="shared" si="5"/>
        <v>September</v>
      </c>
      <c r="D340" s="2" t="s">
        <v>5</v>
      </c>
      <c r="E340" s="2" t="s">
        <v>52</v>
      </c>
      <c r="F340" s="2" t="s">
        <v>53</v>
      </c>
      <c r="G340" s="2" t="s">
        <v>10</v>
      </c>
      <c r="H340" s="2" t="s">
        <v>100</v>
      </c>
      <c r="I340" s="2" t="s">
        <v>100</v>
      </c>
      <c r="J340" s="2" t="s">
        <v>19</v>
      </c>
      <c r="K340" s="2" t="s">
        <v>22</v>
      </c>
      <c r="L340" s="2">
        <v>3</v>
      </c>
      <c r="M340" s="2">
        <v>26374</v>
      </c>
      <c r="N340" s="2">
        <v>5</v>
      </c>
      <c r="O340" s="2">
        <v>75165.899999999994</v>
      </c>
      <c r="P340" s="6">
        <v>21012.36</v>
      </c>
    </row>
    <row r="341" spans="1:16" x14ac:dyDescent="0.3">
      <c r="A341" s="5" t="s">
        <v>663</v>
      </c>
      <c r="B341" s="2" t="s">
        <v>283</v>
      </c>
      <c r="C341" s="2" t="str">
        <f t="shared" si="5"/>
        <v>April</v>
      </c>
      <c r="D341" s="2" t="s">
        <v>5</v>
      </c>
      <c r="E341" s="2" t="s">
        <v>57</v>
      </c>
      <c r="F341" s="2" t="s">
        <v>58</v>
      </c>
      <c r="G341" s="2" t="s">
        <v>9</v>
      </c>
      <c r="H341" s="2" t="s">
        <v>59</v>
      </c>
      <c r="I341" s="2" t="s">
        <v>59</v>
      </c>
      <c r="J341" s="2" t="s">
        <v>17</v>
      </c>
      <c r="K341" s="2" t="s">
        <v>21</v>
      </c>
      <c r="L341" s="2">
        <v>8</v>
      </c>
      <c r="M341" s="2">
        <v>25485</v>
      </c>
      <c r="N341" s="2">
        <v>5</v>
      </c>
      <c r="O341" s="2">
        <v>193686</v>
      </c>
      <c r="P341" s="6">
        <v>31340.79</v>
      </c>
    </row>
    <row r="342" spans="1:16" x14ac:dyDescent="0.3">
      <c r="A342" s="5" t="s">
        <v>664</v>
      </c>
      <c r="B342" s="2" t="s">
        <v>665</v>
      </c>
      <c r="C342" s="2" t="str">
        <f t="shared" si="5"/>
        <v>March</v>
      </c>
      <c r="D342" s="2" t="s">
        <v>4</v>
      </c>
      <c r="E342" s="2" t="s">
        <v>62</v>
      </c>
      <c r="F342" s="2" t="s">
        <v>63</v>
      </c>
      <c r="G342" s="2" t="s">
        <v>10</v>
      </c>
      <c r="H342" s="2" t="s">
        <v>69</v>
      </c>
      <c r="I342" s="2" t="s">
        <v>69</v>
      </c>
      <c r="J342" s="2" t="s">
        <v>12</v>
      </c>
      <c r="K342" s="2" t="s">
        <v>22</v>
      </c>
      <c r="L342" s="2">
        <v>7</v>
      </c>
      <c r="M342" s="2">
        <v>7729</v>
      </c>
      <c r="N342" s="2">
        <v>20</v>
      </c>
      <c r="O342" s="2">
        <v>43282.400000000001</v>
      </c>
      <c r="P342" s="6">
        <v>3601.5</v>
      </c>
    </row>
    <row r="343" spans="1:16" x14ac:dyDescent="0.3">
      <c r="A343" s="5" t="s">
        <v>666</v>
      </c>
      <c r="B343" s="2" t="s">
        <v>667</v>
      </c>
      <c r="C343" s="2" t="str">
        <f t="shared" si="5"/>
        <v>October</v>
      </c>
      <c r="D343" s="2" t="s">
        <v>4</v>
      </c>
      <c r="E343" s="2" t="s">
        <v>62</v>
      </c>
      <c r="F343" s="2" t="s">
        <v>63</v>
      </c>
      <c r="G343" s="2" t="s">
        <v>8</v>
      </c>
      <c r="H343" s="2" t="s">
        <v>76</v>
      </c>
      <c r="I343" s="2" t="s">
        <v>76</v>
      </c>
      <c r="J343" s="2" t="s">
        <v>13</v>
      </c>
      <c r="K343" s="2" t="s">
        <v>22</v>
      </c>
      <c r="L343" s="2">
        <v>6</v>
      </c>
      <c r="M343" s="2">
        <v>16767</v>
      </c>
      <c r="N343" s="2">
        <v>0</v>
      </c>
      <c r="O343" s="2">
        <v>100602</v>
      </c>
      <c r="P343" s="6">
        <v>18023.71</v>
      </c>
    </row>
    <row r="344" spans="1:16" x14ac:dyDescent="0.3">
      <c r="A344" s="5" t="s">
        <v>668</v>
      </c>
      <c r="B344" s="2" t="s">
        <v>334</v>
      </c>
      <c r="C344" s="2" t="str">
        <f t="shared" si="5"/>
        <v>November</v>
      </c>
      <c r="D344" s="2" t="s">
        <v>2</v>
      </c>
      <c r="E344" s="2" t="s">
        <v>81</v>
      </c>
      <c r="F344" s="2" t="s">
        <v>82</v>
      </c>
      <c r="G344" s="2" t="s">
        <v>8</v>
      </c>
      <c r="H344" s="2" t="s">
        <v>93</v>
      </c>
      <c r="I344" s="2" t="s">
        <v>93</v>
      </c>
      <c r="J344" s="2" t="s">
        <v>13</v>
      </c>
      <c r="K344" s="2" t="s">
        <v>21</v>
      </c>
      <c r="L344" s="2">
        <v>7</v>
      </c>
      <c r="M344" s="2">
        <v>28088</v>
      </c>
      <c r="N344" s="2">
        <v>5</v>
      </c>
      <c r="O344" s="2">
        <v>186785.2</v>
      </c>
      <c r="P344" s="6">
        <v>53008.35</v>
      </c>
    </row>
    <row r="345" spans="1:16" x14ac:dyDescent="0.3">
      <c r="A345" s="5" t="s">
        <v>669</v>
      </c>
      <c r="B345" s="2" t="s">
        <v>670</v>
      </c>
      <c r="C345" s="2" t="str">
        <f t="shared" si="5"/>
        <v>November</v>
      </c>
      <c r="D345" s="2" t="s">
        <v>3</v>
      </c>
      <c r="E345" s="2" t="s">
        <v>117</v>
      </c>
      <c r="F345" s="2" t="s">
        <v>117</v>
      </c>
      <c r="G345" s="2" t="s">
        <v>10</v>
      </c>
      <c r="H345" s="2" t="s">
        <v>69</v>
      </c>
      <c r="I345" s="2" t="s">
        <v>69</v>
      </c>
      <c r="J345" s="2" t="s">
        <v>14</v>
      </c>
      <c r="K345" s="2" t="s">
        <v>21</v>
      </c>
      <c r="L345" s="2">
        <v>3</v>
      </c>
      <c r="M345" s="2">
        <v>32804</v>
      </c>
      <c r="N345" s="2">
        <v>5</v>
      </c>
      <c r="O345" s="2">
        <v>93491.4</v>
      </c>
      <c r="P345" s="6">
        <v>7688.37</v>
      </c>
    </row>
    <row r="346" spans="1:16" x14ac:dyDescent="0.3">
      <c r="A346" s="5" t="s">
        <v>671</v>
      </c>
      <c r="B346" s="2" t="s">
        <v>74</v>
      </c>
      <c r="C346" s="2" t="str">
        <f t="shared" si="5"/>
        <v>March</v>
      </c>
      <c r="D346" s="2" t="s">
        <v>5</v>
      </c>
      <c r="E346" s="2" t="s">
        <v>52</v>
      </c>
      <c r="F346" s="2" t="s">
        <v>53</v>
      </c>
      <c r="G346" s="2" t="s">
        <v>9</v>
      </c>
      <c r="H346" s="2" t="s">
        <v>126</v>
      </c>
      <c r="I346" s="2" t="s">
        <v>126</v>
      </c>
      <c r="J346" s="2" t="s">
        <v>12</v>
      </c>
      <c r="K346" s="2" t="s">
        <v>22</v>
      </c>
      <c r="L346" s="2">
        <v>6</v>
      </c>
      <c r="M346" s="2">
        <v>3884</v>
      </c>
      <c r="N346" s="2">
        <v>5</v>
      </c>
      <c r="O346" s="2">
        <v>22138.799999999999</v>
      </c>
      <c r="P346" s="6">
        <v>4145.74</v>
      </c>
    </row>
    <row r="347" spans="1:16" x14ac:dyDescent="0.3">
      <c r="A347" s="5" t="s">
        <v>672</v>
      </c>
      <c r="B347" s="2" t="s">
        <v>673</v>
      </c>
      <c r="C347" s="2" t="str">
        <f t="shared" si="5"/>
        <v>February</v>
      </c>
      <c r="D347" s="2" t="s">
        <v>2</v>
      </c>
      <c r="E347" s="2" t="s">
        <v>103</v>
      </c>
      <c r="F347" s="2" t="s">
        <v>104</v>
      </c>
      <c r="G347" s="2" t="s">
        <v>8</v>
      </c>
      <c r="H347" s="2" t="s">
        <v>133</v>
      </c>
      <c r="I347" s="2" t="s">
        <v>133</v>
      </c>
      <c r="J347" s="2" t="s">
        <v>17</v>
      </c>
      <c r="K347" s="2" t="s">
        <v>22</v>
      </c>
      <c r="L347" s="2">
        <v>9</v>
      </c>
      <c r="M347" s="2">
        <v>43618</v>
      </c>
      <c r="N347" s="2">
        <v>20</v>
      </c>
      <c r="O347" s="2">
        <v>314049.59999999998</v>
      </c>
      <c r="P347" s="6">
        <v>89733.38</v>
      </c>
    </row>
    <row r="348" spans="1:16" x14ac:dyDescent="0.3">
      <c r="A348" s="5" t="s">
        <v>674</v>
      </c>
      <c r="B348" s="2" t="s">
        <v>327</v>
      </c>
      <c r="C348" s="2" t="str">
        <f t="shared" si="5"/>
        <v>June</v>
      </c>
      <c r="D348" s="2" t="s">
        <v>3</v>
      </c>
      <c r="E348" s="2" t="s">
        <v>117</v>
      </c>
      <c r="F348" s="2" t="s">
        <v>117</v>
      </c>
      <c r="G348" s="2" t="s">
        <v>9</v>
      </c>
      <c r="H348" s="2" t="s">
        <v>126</v>
      </c>
      <c r="I348" s="2" t="s">
        <v>126</v>
      </c>
      <c r="J348" s="2" t="s">
        <v>13</v>
      </c>
      <c r="K348" s="2" t="s">
        <v>22</v>
      </c>
      <c r="L348" s="2">
        <v>9</v>
      </c>
      <c r="M348" s="2">
        <v>31805</v>
      </c>
      <c r="N348" s="2">
        <v>10</v>
      </c>
      <c r="O348" s="2">
        <v>257620.5</v>
      </c>
      <c r="P348" s="6">
        <v>74856.92</v>
      </c>
    </row>
    <row r="349" spans="1:16" x14ac:dyDescent="0.3">
      <c r="A349" s="5" t="s">
        <v>675</v>
      </c>
      <c r="B349" s="2" t="s">
        <v>535</v>
      </c>
      <c r="C349" s="2" t="str">
        <f t="shared" si="5"/>
        <v>July</v>
      </c>
      <c r="D349" s="2" t="s">
        <v>2</v>
      </c>
      <c r="E349" s="2" t="s">
        <v>81</v>
      </c>
      <c r="F349" s="2" t="s">
        <v>82</v>
      </c>
      <c r="G349" s="2" t="s">
        <v>10</v>
      </c>
      <c r="H349" s="2" t="s">
        <v>83</v>
      </c>
      <c r="I349" s="2" t="s">
        <v>83</v>
      </c>
      <c r="J349" s="2" t="s">
        <v>19</v>
      </c>
      <c r="K349" s="2" t="s">
        <v>21</v>
      </c>
      <c r="L349" s="2">
        <v>7</v>
      </c>
      <c r="M349" s="2">
        <v>4186</v>
      </c>
      <c r="N349" s="2">
        <v>10</v>
      </c>
      <c r="O349" s="2">
        <v>26371.8</v>
      </c>
      <c r="P349" s="6">
        <v>3394.83</v>
      </c>
    </row>
    <row r="350" spans="1:16" x14ac:dyDescent="0.3">
      <c r="A350" s="5" t="s">
        <v>676</v>
      </c>
      <c r="B350" s="2" t="s">
        <v>181</v>
      </c>
      <c r="C350" s="2" t="str">
        <f t="shared" si="5"/>
        <v>March</v>
      </c>
      <c r="D350" s="2" t="s">
        <v>4</v>
      </c>
      <c r="E350" s="2" t="s">
        <v>62</v>
      </c>
      <c r="F350" s="2" t="s">
        <v>63</v>
      </c>
      <c r="G350" s="2" t="s">
        <v>10</v>
      </c>
      <c r="H350" s="2" t="s">
        <v>54</v>
      </c>
      <c r="I350" s="2" t="s">
        <v>54</v>
      </c>
      <c r="J350" s="2" t="s">
        <v>17</v>
      </c>
      <c r="K350" s="2" t="s">
        <v>21</v>
      </c>
      <c r="L350" s="2">
        <v>5</v>
      </c>
      <c r="M350" s="2">
        <v>34214</v>
      </c>
      <c r="N350" s="2">
        <v>20</v>
      </c>
      <c r="O350" s="2">
        <v>136856</v>
      </c>
      <c r="P350" s="6">
        <v>39302.69</v>
      </c>
    </row>
    <row r="351" spans="1:16" x14ac:dyDescent="0.3">
      <c r="A351" s="5" t="s">
        <v>677</v>
      </c>
      <c r="B351" s="2" t="s">
        <v>410</v>
      </c>
      <c r="C351" s="2" t="str">
        <f t="shared" si="5"/>
        <v>February</v>
      </c>
      <c r="D351" s="2" t="s">
        <v>4</v>
      </c>
      <c r="E351" s="2" t="s">
        <v>67</v>
      </c>
      <c r="F351" s="2" t="s">
        <v>68</v>
      </c>
      <c r="G351" s="2" t="s">
        <v>10</v>
      </c>
      <c r="H351" s="2" t="s">
        <v>100</v>
      </c>
      <c r="I351" s="2" t="s">
        <v>100</v>
      </c>
      <c r="J351" s="2" t="s">
        <v>14</v>
      </c>
      <c r="K351" s="2" t="s">
        <v>22</v>
      </c>
      <c r="L351" s="2">
        <v>9</v>
      </c>
      <c r="M351" s="2">
        <v>31320</v>
      </c>
      <c r="N351" s="2">
        <v>5</v>
      </c>
      <c r="O351" s="2">
        <v>267786</v>
      </c>
      <c r="P351" s="6">
        <v>15495.54</v>
      </c>
    </row>
    <row r="352" spans="1:16" x14ac:dyDescent="0.3">
      <c r="A352" s="5" t="s">
        <v>678</v>
      </c>
      <c r="B352" s="2" t="s">
        <v>639</v>
      </c>
      <c r="C352" s="2" t="str">
        <f t="shared" si="5"/>
        <v>May</v>
      </c>
      <c r="D352" s="2" t="s">
        <v>2</v>
      </c>
      <c r="E352" s="2" t="s">
        <v>103</v>
      </c>
      <c r="F352" s="2" t="s">
        <v>104</v>
      </c>
      <c r="G352" s="2" t="s">
        <v>8</v>
      </c>
      <c r="H352" s="2" t="s">
        <v>64</v>
      </c>
      <c r="I352" s="2" t="s">
        <v>64</v>
      </c>
      <c r="J352" s="2" t="s">
        <v>19</v>
      </c>
      <c r="K352" s="2" t="s">
        <v>21</v>
      </c>
      <c r="L352" s="2">
        <v>8</v>
      </c>
      <c r="M352" s="2">
        <v>27618</v>
      </c>
      <c r="N352" s="2">
        <v>10</v>
      </c>
      <c r="O352" s="2">
        <v>198849.6</v>
      </c>
      <c r="P352" s="6">
        <v>12421.38</v>
      </c>
    </row>
    <row r="353" spans="1:16" x14ac:dyDescent="0.3">
      <c r="A353" s="5" t="s">
        <v>679</v>
      </c>
      <c r="B353" s="2" t="s">
        <v>158</v>
      </c>
      <c r="C353" s="2" t="str">
        <f t="shared" si="5"/>
        <v>May</v>
      </c>
      <c r="D353" s="2" t="s">
        <v>4</v>
      </c>
      <c r="E353" s="2" t="s">
        <v>67</v>
      </c>
      <c r="F353" s="2" t="s">
        <v>68</v>
      </c>
      <c r="G353" s="2" t="s">
        <v>9</v>
      </c>
      <c r="H353" s="2" t="s">
        <v>72</v>
      </c>
      <c r="I353" s="2" t="s">
        <v>72</v>
      </c>
      <c r="J353" s="2" t="s">
        <v>18</v>
      </c>
      <c r="K353" s="2" t="s">
        <v>22</v>
      </c>
      <c r="L353" s="2">
        <v>2</v>
      </c>
      <c r="M353" s="2">
        <v>49055</v>
      </c>
      <c r="N353" s="2">
        <v>5</v>
      </c>
      <c r="O353" s="2">
        <v>93204.5</v>
      </c>
      <c r="P353" s="6">
        <v>7054.46</v>
      </c>
    </row>
    <row r="354" spans="1:16" x14ac:dyDescent="0.3">
      <c r="A354" s="5" t="s">
        <v>680</v>
      </c>
      <c r="B354" s="2" t="s">
        <v>576</v>
      </c>
      <c r="C354" s="2" t="str">
        <f t="shared" si="5"/>
        <v>November</v>
      </c>
      <c r="D354" s="2" t="s">
        <v>5</v>
      </c>
      <c r="E354" s="2" t="s">
        <v>52</v>
      </c>
      <c r="F354" s="2" t="s">
        <v>53</v>
      </c>
      <c r="G354" s="2" t="s">
        <v>10</v>
      </c>
      <c r="H354" s="2" t="s">
        <v>100</v>
      </c>
      <c r="I354" s="2" t="s">
        <v>100</v>
      </c>
      <c r="J354" s="2" t="s">
        <v>14</v>
      </c>
      <c r="K354" s="2" t="s">
        <v>22</v>
      </c>
      <c r="L354" s="2">
        <v>6</v>
      </c>
      <c r="M354" s="2">
        <v>28207</v>
      </c>
      <c r="N354" s="2">
        <v>0</v>
      </c>
      <c r="O354" s="2">
        <v>169242</v>
      </c>
      <c r="P354" s="6">
        <v>44935.45</v>
      </c>
    </row>
    <row r="355" spans="1:16" x14ac:dyDescent="0.3">
      <c r="A355" s="5" t="s">
        <v>681</v>
      </c>
      <c r="B355" s="2" t="s">
        <v>682</v>
      </c>
      <c r="C355" s="2" t="str">
        <f t="shared" si="5"/>
        <v>December</v>
      </c>
      <c r="D355" s="2" t="s">
        <v>4</v>
      </c>
      <c r="E355" s="2" t="s">
        <v>67</v>
      </c>
      <c r="F355" s="2" t="s">
        <v>68</v>
      </c>
      <c r="G355" s="2" t="s">
        <v>8</v>
      </c>
      <c r="H355" s="2" t="s">
        <v>133</v>
      </c>
      <c r="I355" s="2" t="s">
        <v>133</v>
      </c>
      <c r="J355" s="2" t="s">
        <v>19</v>
      </c>
      <c r="K355" s="2" t="s">
        <v>22</v>
      </c>
      <c r="L355" s="2">
        <v>5</v>
      </c>
      <c r="M355" s="2">
        <v>18462</v>
      </c>
      <c r="N355" s="2">
        <v>15</v>
      </c>
      <c r="O355" s="2">
        <v>78463.5</v>
      </c>
      <c r="P355" s="6">
        <v>4284.47</v>
      </c>
    </row>
    <row r="356" spans="1:16" x14ac:dyDescent="0.3">
      <c r="A356" s="5" t="s">
        <v>683</v>
      </c>
      <c r="B356" s="2" t="s">
        <v>132</v>
      </c>
      <c r="C356" s="2" t="str">
        <f t="shared" si="5"/>
        <v>February</v>
      </c>
      <c r="D356" s="2" t="s">
        <v>4</v>
      </c>
      <c r="E356" s="2" t="s">
        <v>67</v>
      </c>
      <c r="F356" s="2" t="s">
        <v>68</v>
      </c>
      <c r="G356" s="2" t="s">
        <v>8</v>
      </c>
      <c r="H356" s="2" t="s">
        <v>76</v>
      </c>
      <c r="I356" s="2" t="s">
        <v>76</v>
      </c>
      <c r="J356" s="2" t="s">
        <v>16</v>
      </c>
      <c r="K356" s="2" t="s">
        <v>21</v>
      </c>
      <c r="L356" s="2">
        <v>3</v>
      </c>
      <c r="M356" s="2">
        <v>36884</v>
      </c>
      <c r="N356" s="2">
        <v>20</v>
      </c>
      <c r="O356" s="2">
        <v>88521.600000000006</v>
      </c>
      <c r="P356" s="6">
        <v>12935.48</v>
      </c>
    </row>
    <row r="357" spans="1:16" x14ac:dyDescent="0.3">
      <c r="A357" s="5" t="s">
        <v>684</v>
      </c>
      <c r="B357" s="2" t="s">
        <v>685</v>
      </c>
      <c r="C357" s="2" t="str">
        <f t="shared" si="5"/>
        <v>October</v>
      </c>
      <c r="D357" s="2" t="s">
        <v>2</v>
      </c>
      <c r="E357" s="2" t="s">
        <v>81</v>
      </c>
      <c r="F357" s="2" t="s">
        <v>82</v>
      </c>
      <c r="G357" s="2" t="s">
        <v>8</v>
      </c>
      <c r="H357" s="2" t="s">
        <v>76</v>
      </c>
      <c r="I357" s="2" t="s">
        <v>76</v>
      </c>
      <c r="J357" s="2" t="s">
        <v>14</v>
      </c>
      <c r="K357" s="2" t="s">
        <v>21</v>
      </c>
      <c r="L357" s="2">
        <v>7</v>
      </c>
      <c r="M357" s="2">
        <v>18671</v>
      </c>
      <c r="N357" s="2">
        <v>0</v>
      </c>
      <c r="O357" s="2">
        <v>130697</v>
      </c>
      <c r="P357" s="6">
        <v>14672.28</v>
      </c>
    </row>
    <row r="358" spans="1:16" x14ac:dyDescent="0.3">
      <c r="A358" s="5" t="s">
        <v>686</v>
      </c>
      <c r="B358" s="2" t="s">
        <v>468</v>
      </c>
      <c r="C358" s="2" t="str">
        <f t="shared" si="5"/>
        <v>January</v>
      </c>
      <c r="D358" s="2" t="s">
        <v>2</v>
      </c>
      <c r="E358" s="2" t="s">
        <v>81</v>
      </c>
      <c r="F358" s="2" t="s">
        <v>82</v>
      </c>
      <c r="G358" s="2" t="s">
        <v>9</v>
      </c>
      <c r="H358" s="2" t="s">
        <v>72</v>
      </c>
      <c r="I358" s="2" t="s">
        <v>72</v>
      </c>
      <c r="J358" s="2" t="s">
        <v>13</v>
      </c>
      <c r="K358" s="2" t="s">
        <v>22</v>
      </c>
      <c r="L358" s="2">
        <v>6</v>
      </c>
      <c r="M358" s="2">
        <v>25331</v>
      </c>
      <c r="N358" s="2">
        <v>0</v>
      </c>
      <c r="O358" s="2">
        <v>151986</v>
      </c>
      <c r="P358" s="6">
        <v>12121.67</v>
      </c>
    </row>
    <row r="359" spans="1:16" x14ac:dyDescent="0.3">
      <c r="A359" s="5" t="s">
        <v>687</v>
      </c>
      <c r="B359" s="2" t="s">
        <v>576</v>
      </c>
      <c r="C359" s="2" t="str">
        <f t="shared" si="5"/>
        <v>November</v>
      </c>
      <c r="D359" s="2" t="s">
        <v>4</v>
      </c>
      <c r="E359" s="2" t="s">
        <v>62</v>
      </c>
      <c r="F359" s="2" t="s">
        <v>63</v>
      </c>
      <c r="G359" s="2" t="s">
        <v>9</v>
      </c>
      <c r="H359" s="2" t="s">
        <v>72</v>
      </c>
      <c r="I359" s="2" t="s">
        <v>72</v>
      </c>
      <c r="J359" s="2" t="s">
        <v>12</v>
      </c>
      <c r="K359" s="2" t="s">
        <v>22</v>
      </c>
      <c r="L359" s="2">
        <v>9</v>
      </c>
      <c r="M359" s="2">
        <v>21307</v>
      </c>
      <c r="N359" s="2">
        <v>10</v>
      </c>
      <c r="O359" s="2">
        <v>172586.7</v>
      </c>
      <c r="P359" s="6">
        <v>26683.24</v>
      </c>
    </row>
    <row r="360" spans="1:16" x14ac:dyDescent="0.3">
      <c r="A360" s="5" t="s">
        <v>688</v>
      </c>
      <c r="B360" s="2" t="s">
        <v>689</v>
      </c>
      <c r="C360" s="2" t="str">
        <f t="shared" si="5"/>
        <v>June</v>
      </c>
      <c r="D360" s="2" t="s">
        <v>4</v>
      </c>
      <c r="E360" s="2" t="s">
        <v>62</v>
      </c>
      <c r="F360" s="2" t="s">
        <v>63</v>
      </c>
      <c r="G360" s="2" t="s">
        <v>8</v>
      </c>
      <c r="H360" s="2" t="s">
        <v>64</v>
      </c>
      <c r="I360" s="2" t="s">
        <v>64</v>
      </c>
      <c r="J360" s="2" t="s">
        <v>12</v>
      </c>
      <c r="K360" s="2" t="s">
        <v>21</v>
      </c>
      <c r="L360" s="2">
        <v>4</v>
      </c>
      <c r="M360" s="2">
        <v>45529</v>
      </c>
      <c r="N360" s="2">
        <v>0</v>
      </c>
      <c r="O360" s="2">
        <v>182116</v>
      </c>
      <c r="P360" s="6">
        <v>46309.27</v>
      </c>
    </row>
    <row r="361" spans="1:16" x14ac:dyDescent="0.3">
      <c r="A361" s="5" t="s">
        <v>690</v>
      </c>
      <c r="B361" s="2" t="s">
        <v>173</v>
      </c>
      <c r="C361" s="2" t="str">
        <f t="shared" si="5"/>
        <v>April</v>
      </c>
      <c r="D361" s="2" t="s">
        <v>5</v>
      </c>
      <c r="E361" s="2" t="s">
        <v>52</v>
      </c>
      <c r="F361" s="2" t="s">
        <v>53</v>
      </c>
      <c r="G361" s="2" t="s">
        <v>9</v>
      </c>
      <c r="H361" s="2" t="s">
        <v>90</v>
      </c>
      <c r="I361" s="2" t="s">
        <v>90</v>
      </c>
      <c r="J361" s="2" t="s">
        <v>12</v>
      </c>
      <c r="K361" s="2" t="s">
        <v>22</v>
      </c>
      <c r="L361" s="2">
        <v>3</v>
      </c>
      <c r="M361" s="2">
        <v>26744</v>
      </c>
      <c r="N361" s="2">
        <v>0</v>
      </c>
      <c r="O361" s="2">
        <v>80232</v>
      </c>
      <c r="P361" s="6">
        <v>23617.119999999999</v>
      </c>
    </row>
    <row r="362" spans="1:16" x14ac:dyDescent="0.3">
      <c r="A362" s="5" t="s">
        <v>691</v>
      </c>
      <c r="B362" s="2" t="s">
        <v>692</v>
      </c>
      <c r="C362" s="2" t="str">
        <f t="shared" si="5"/>
        <v>January</v>
      </c>
      <c r="D362" s="2" t="s">
        <v>5</v>
      </c>
      <c r="E362" s="2" t="s">
        <v>57</v>
      </c>
      <c r="F362" s="2" t="s">
        <v>58</v>
      </c>
      <c r="G362" s="2" t="s">
        <v>9</v>
      </c>
      <c r="H362" s="2" t="s">
        <v>72</v>
      </c>
      <c r="I362" s="2" t="s">
        <v>72</v>
      </c>
      <c r="J362" s="2" t="s">
        <v>19</v>
      </c>
      <c r="K362" s="2" t="s">
        <v>21</v>
      </c>
      <c r="L362" s="2">
        <v>2</v>
      </c>
      <c r="M362" s="2">
        <v>42110</v>
      </c>
      <c r="N362" s="2">
        <v>20</v>
      </c>
      <c r="O362" s="2">
        <v>67376</v>
      </c>
      <c r="P362" s="6">
        <v>7060.89</v>
      </c>
    </row>
    <row r="363" spans="1:16" x14ac:dyDescent="0.3">
      <c r="A363" s="5" t="s">
        <v>693</v>
      </c>
      <c r="B363" s="2" t="s">
        <v>186</v>
      </c>
      <c r="C363" s="2" t="str">
        <f t="shared" si="5"/>
        <v>October</v>
      </c>
      <c r="D363" s="2" t="s">
        <v>3</v>
      </c>
      <c r="E363" s="2" t="s">
        <v>75</v>
      </c>
      <c r="F363" s="2" t="s">
        <v>75</v>
      </c>
      <c r="G363" s="2" t="s">
        <v>9</v>
      </c>
      <c r="H363" s="2" t="s">
        <v>72</v>
      </c>
      <c r="I363" s="2" t="s">
        <v>72</v>
      </c>
      <c r="J363" s="2" t="s">
        <v>13</v>
      </c>
      <c r="K363" s="2" t="s">
        <v>22</v>
      </c>
      <c r="L363" s="2">
        <v>10</v>
      </c>
      <c r="M363" s="2">
        <v>9975</v>
      </c>
      <c r="N363" s="2">
        <v>5</v>
      </c>
      <c r="O363" s="2">
        <v>94762.5</v>
      </c>
      <c r="P363" s="6">
        <v>9556.41</v>
      </c>
    </row>
    <row r="364" spans="1:16" x14ac:dyDescent="0.3">
      <c r="A364" s="5" t="s">
        <v>694</v>
      </c>
      <c r="B364" s="2" t="s">
        <v>695</v>
      </c>
      <c r="C364" s="2" t="str">
        <f t="shared" si="5"/>
        <v>January</v>
      </c>
      <c r="D364" s="2" t="s">
        <v>3</v>
      </c>
      <c r="E364" s="2" t="s">
        <v>75</v>
      </c>
      <c r="F364" s="2" t="s">
        <v>75</v>
      </c>
      <c r="G364" s="2" t="s">
        <v>9</v>
      </c>
      <c r="H364" s="2" t="s">
        <v>72</v>
      </c>
      <c r="I364" s="2" t="s">
        <v>72</v>
      </c>
      <c r="J364" s="2" t="s">
        <v>14</v>
      </c>
      <c r="K364" s="2" t="s">
        <v>22</v>
      </c>
      <c r="L364" s="2">
        <v>6</v>
      </c>
      <c r="M364" s="2">
        <v>5544</v>
      </c>
      <c r="N364" s="2">
        <v>20</v>
      </c>
      <c r="O364" s="2">
        <v>26611.200000000001</v>
      </c>
      <c r="P364" s="6">
        <v>4303.92</v>
      </c>
    </row>
    <row r="365" spans="1:16" x14ac:dyDescent="0.3">
      <c r="A365" s="5" t="s">
        <v>696</v>
      </c>
      <c r="B365" s="2" t="s">
        <v>697</v>
      </c>
      <c r="C365" s="2" t="str">
        <f t="shared" si="5"/>
        <v>June</v>
      </c>
      <c r="D365" s="2" t="s">
        <v>2</v>
      </c>
      <c r="E365" s="2" t="s">
        <v>103</v>
      </c>
      <c r="F365" s="2" t="s">
        <v>104</v>
      </c>
      <c r="G365" s="2" t="s">
        <v>8</v>
      </c>
      <c r="H365" s="2" t="s">
        <v>76</v>
      </c>
      <c r="I365" s="2" t="s">
        <v>76</v>
      </c>
      <c r="J365" s="2" t="s">
        <v>15</v>
      </c>
      <c r="K365" s="2" t="s">
        <v>22</v>
      </c>
      <c r="L365" s="2">
        <v>6</v>
      </c>
      <c r="M365" s="2">
        <v>21286</v>
      </c>
      <c r="N365" s="2">
        <v>0</v>
      </c>
      <c r="O365" s="2">
        <v>127716</v>
      </c>
      <c r="P365" s="6">
        <v>16461.47</v>
      </c>
    </row>
    <row r="366" spans="1:16" x14ac:dyDescent="0.3">
      <c r="A366" s="5" t="s">
        <v>698</v>
      </c>
      <c r="B366" s="2" t="s">
        <v>497</v>
      </c>
      <c r="C366" s="2" t="str">
        <f t="shared" si="5"/>
        <v>August</v>
      </c>
      <c r="D366" s="2" t="s">
        <v>3</v>
      </c>
      <c r="E366" s="2" t="s">
        <v>117</v>
      </c>
      <c r="F366" s="2" t="s">
        <v>117</v>
      </c>
      <c r="G366" s="2" t="s">
        <v>10</v>
      </c>
      <c r="H366" s="2" t="s">
        <v>69</v>
      </c>
      <c r="I366" s="2" t="s">
        <v>69</v>
      </c>
      <c r="J366" s="2" t="s">
        <v>17</v>
      </c>
      <c r="K366" s="2" t="s">
        <v>22</v>
      </c>
      <c r="L366" s="2">
        <v>5</v>
      </c>
      <c r="M366" s="2">
        <v>19192</v>
      </c>
      <c r="N366" s="2">
        <v>20</v>
      </c>
      <c r="O366" s="2">
        <v>76768</v>
      </c>
      <c r="P366" s="6">
        <v>15737.49</v>
      </c>
    </row>
    <row r="367" spans="1:16" x14ac:dyDescent="0.3">
      <c r="A367" s="5" t="s">
        <v>699</v>
      </c>
      <c r="B367" s="2" t="s">
        <v>490</v>
      </c>
      <c r="C367" s="2" t="str">
        <f t="shared" si="5"/>
        <v>August</v>
      </c>
      <c r="D367" s="2" t="s">
        <v>2</v>
      </c>
      <c r="E367" s="2" t="s">
        <v>81</v>
      </c>
      <c r="F367" s="2" t="s">
        <v>82</v>
      </c>
      <c r="G367" s="2" t="s">
        <v>8</v>
      </c>
      <c r="H367" s="2" t="s">
        <v>93</v>
      </c>
      <c r="I367" s="2" t="s">
        <v>93</v>
      </c>
      <c r="J367" s="2" t="s">
        <v>13</v>
      </c>
      <c r="K367" s="2" t="s">
        <v>22</v>
      </c>
      <c r="L367" s="2">
        <v>9</v>
      </c>
      <c r="M367" s="2">
        <v>20768</v>
      </c>
      <c r="N367" s="2">
        <v>5</v>
      </c>
      <c r="O367" s="2">
        <v>177566.4</v>
      </c>
      <c r="P367" s="6">
        <v>27576.639999999999</v>
      </c>
    </row>
    <row r="368" spans="1:16" x14ac:dyDescent="0.3">
      <c r="A368" s="5" t="s">
        <v>700</v>
      </c>
      <c r="B368" s="2" t="s">
        <v>701</v>
      </c>
      <c r="C368" s="2" t="str">
        <f t="shared" si="5"/>
        <v>August</v>
      </c>
      <c r="D368" s="2" t="s">
        <v>2</v>
      </c>
      <c r="E368" s="2" t="s">
        <v>81</v>
      </c>
      <c r="F368" s="2" t="s">
        <v>82</v>
      </c>
      <c r="G368" s="2" t="s">
        <v>8</v>
      </c>
      <c r="H368" s="2" t="s">
        <v>93</v>
      </c>
      <c r="I368" s="2" t="s">
        <v>93</v>
      </c>
      <c r="J368" s="2" t="s">
        <v>18</v>
      </c>
      <c r="K368" s="2" t="s">
        <v>21</v>
      </c>
      <c r="L368" s="2">
        <v>3</v>
      </c>
      <c r="M368" s="2">
        <v>31457</v>
      </c>
      <c r="N368" s="2">
        <v>20</v>
      </c>
      <c r="O368" s="2">
        <v>75496.800000000003</v>
      </c>
      <c r="P368" s="6">
        <v>18996.810000000001</v>
      </c>
    </row>
    <row r="369" spans="1:16" x14ac:dyDescent="0.3">
      <c r="A369" s="5" t="s">
        <v>702</v>
      </c>
      <c r="B369" s="2" t="s">
        <v>703</v>
      </c>
      <c r="C369" s="2" t="str">
        <f t="shared" si="5"/>
        <v>June</v>
      </c>
      <c r="D369" s="2" t="s">
        <v>4</v>
      </c>
      <c r="E369" s="2" t="s">
        <v>62</v>
      </c>
      <c r="F369" s="2" t="s">
        <v>63</v>
      </c>
      <c r="G369" s="2" t="s">
        <v>10</v>
      </c>
      <c r="H369" s="2" t="s">
        <v>83</v>
      </c>
      <c r="I369" s="2" t="s">
        <v>83</v>
      </c>
      <c r="J369" s="2" t="s">
        <v>12</v>
      </c>
      <c r="K369" s="2" t="s">
        <v>21</v>
      </c>
      <c r="L369" s="2">
        <v>10</v>
      </c>
      <c r="M369" s="2">
        <v>35446</v>
      </c>
      <c r="N369" s="2">
        <v>0</v>
      </c>
      <c r="O369" s="2">
        <v>354460</v>
      </c>
      <c r="P369" s="6">
        <v>27478.37</v>
      </c>
    </row>
    <row r="370" spans="1:16" x14ac:dyDescent="0.3">
      <c r="A370" s="5" t="s">
        <v>704</v>
      </c>
      <c r="B370" s="2" t="s">
        <v>310</v>
      </c>
      <c r="C370" s="2" t="str">
        <f t="shared" si="5"/>
        <v>March</v>
      </c>
      <c r="D370" s="2" t="s">
        <v>3</v>
      </c>
      <c r="E370" s="2" t="s">
        <v>75</v>
      </c>
      <c r="F370" s="2" t="s">
        <v>75</v>
      </c>
      <c r="G370" s="2" t="s">
        <v>8</v>
      </c>
      <c r="H370" s="2" t="s">
        <v>133</v>
      </c>
      <c r="I370" s="2" t="s">
        <v>133</v>
      </c>
      <c r="J370" s="2" t="s">
        <v>16</v>
      </c>
      <c r="K370" s="2" t="s">
        <v>21</v>
      </c>
      <c r="L370" s="2">
        <v>4</v>
      </c>
      <c r="M370" s="2">
        <v>46103</v>
      </c>
      <c r="N370" s="2">
        <v>20</v>
      </c>
      <c r="O370" s="2">
        <v>147529.60000000001</v>
      </c>
      <c r="P370" s="6">
        <v>28453.41</v>
      </c>
    </row>
    <row r="371" spans="1:16" x14ac:dyDescent="0.3">
      <c r="A371" s="5" t="s">
        <v>705</v>
      </c>
      <c r="B371" s="2" t="s">
        <v>706</v>
      </c>
      <c r="C371" s="2" t="str">
        <f t="shared" si="5"/>
        <v>September</v>
      </c>
      <c r="D371" s="2" t="s">
        <v>2</v>
      </c>
      <c r="E371" s="2" t="s">
        <v>81</v>
      </c>
      <c r="F371" s="2" t="s">
        <v>82</v>
      </c>
      <c r="G371" s="2" t="s">
        <v>9</v>
      </c>
      <c r="H371" s="2" t="s">
        <v>90</v>
      </c>
      <c r="I371" s="2" t="s">
        <v>90</v>
      </c>
      <c r="J371" s="2" t="s">
        <v>12</v>
      </c>
      <c r="K371" s="2" t="s">
        <v>21</v>
      </c>
      <c r="L371" s="2">
        <v>9</v>
      </c>
      <c r="M371" s="2">
        <v>41354</v>
      </c>
      <c r="N371" s="2">
        <v>15</v>
      </c>
      <c r="O371" s="2">
        <v>316358.09999999998</v>
      </c>
      <c r="P371" s="6">
        <v>49768.51</v>
      </c>
    </row>
    <row r="372" spans="1:16" x14ac:dyDescent="0.3">
      <c r="A372" s="5" t="s">
        <v>707</v>
      </c>
      <c r="B372" s="2" t="s">
        <v>285</v>
      </c>
      <c r="C372" s="2" t="str">
        <f t="shared" si="5"/>
        <v>January</v>
      </c>
      <c r="D372" s="2" t="s">
        <v>3</v>
      </c>
      <c r="E372" s="2" t="s">
        <v>75</v>
      </c>
      <c r="F372" s="2" t="s">
        <v>75</v>
      </c>
      <c r="G372" s="2" t="s">
        <v>8</v>
      </c>
      <c r="H372" s="2" t="s">
        <v>93</v>
      </c>
      <c r="I372" s="2" t="s">
        <v>93</v>
      </c>
      <c r="J372" s="2" t="s">
        <v>18</v>
      </c>
      <c r="K372" s="2" t="s">
        <v>21</v>
      </c>
      <c r="L372" s="2">
        <v>3</v>
      </c>
      <c r="M372" s="2">
        <v>6672</v>
      </c>
      <c r="N372" s="2">
        <v>15</v>
      </c>
      <c r="O372" s="2">
        <v>17013.599999999999</v>
      </c>
      <c r="P372" s="6">
        <v>4044.49</v>
      </c>
    </row>
    <row r="373" spans="1:16" x14ac:dyDescent="0.3">
      <c r="A373" s="5" t="s">
        <v>708</v>
      </c>
      <c r="B373" s="2" t="s">
        <v>141</v>
      </c>
      <c r="C373" s="2" t="str">
        <f t="shared" si="5"/>
        <v>March</v>
      </c>
      <c r="D373" s="2" t="s">
        <v>3</v>
      </c>
      <c r="E373" s="2" t="s">
        <v>75</v>
      </c>
      <c r="F373" s="2" t="s">
        <v>75</v>
      </c>
      <c r="G373" s="2" t="s">
        <v>10</v>
      </c>
      <c r="H373" s="2" t="s">
        <v>54</v>
      </c>
      <c r="I373" s="2" t="s">
        <v>54</v>
      </c>
      <c r="J373" s="2" t="s">
        <v>15</v>
      </c>
      <c r="K373" s="2" t="s">
        <v>22</v>
      </c>
      <c r="L373" s="2">
        <v>5</v>
      </c>
      <c r="M373" s="2">
        <v>42730</v>
      </c>
      <c r="N373" s="2">
        <v>5</v>
      </c>
      <c r="O373" s="2">
        <v>202967.5</v>
      </c>
      <c r="P373" s="6">
        <v>49610.54</v>
      </c>
    </row>
    <row r="374" spans="1:16" x14ac:dyDescent="0.3">
      <c r="A374" s="5" t="s">
        <v>709</v>
      </c>
      <c r="B374" s="2" t="s">
        <v>710</v>
      </c>
      <c r="C374" s="2" t="str">
        <f t="shared" si="5"/>
        <v>September</v>
      </c>
      <c r="D374" s="2" t="s">
        <v>3</v>
      </c>
      <c r="E374" s="2" t="s">
        <v>117</v>
      </c>
      <c r="F374" s="2" t="s">
        <v>117</v>
      </c>
      <c r="G374" s="2" t="s">
        <v>10</v>
      </c>
      <c r="H374" s="2" t="s">
        <v>83</v>
      </c>
      <c r="I374" s="2" t="s">
        <v>83</v>
      </c>
      <c r="J374" s="2" t="s">
        <v>16</v>
      </c>
      <c r="K374" s="2" t="s">
        <v>22</v>
      </c>
      <c r="L374" s="2">
        <v>2</v>
      </c>
      <c r="M374" s="2">
        <v>31612</v>
      </c>
      <c r="N374" s="2">
        <v>5</v>
      </c>
      <c r="O374" s="2">
        <v>60062.8</v>
      </c>
      <c r="P374" s="6">
        <v>12129.03</v>
      </c>
    </row>
    <row r="375" spans="1:16" x14ac:dyDescent="0.3">
      <c r="A375" s="5" t="s">
        <v>711</v>
      </c>
      <c r="B375" s="2" t="s">
        <v>485</v>
      </c>
      <c r="C375" s="2" t="str">
        <f t="shared" si="5"/>
        <v>March</v>
      </c>
      <c r="D375" s="2" t="s">
        <v>4</v>
      </c>
      <c r="E375" s="2" t="s">
        <v>67</v>
      </c>
      <c r="F375" s="2" t="s">
        <v>68</v>
      </c>
      <c r="G375" s="2" t="s">
        <v>9</v>
      </c>
      <c r="H375" s="2" t="s">
        <v>126</v>
      </c>
      <c r="I375" s="2" t="s">
        <v>126</v>
      </c>
      <c r="J375" s="2" t="s">
        <v>16</v>
      </c>
      <c r="K375" s="2" t="s">
        <v>21</v>
      </c>
      <c r="L375" s="2">
        <v>7</v>
      </c>
      <c r="M375" s="2">
        <v>35737</v>
      </c>
      <c r="N375" s="2">
        <v>20</v>
      </c>
      <c r="O375" s="2">
        <v>200127.2</v>
      </c>
      <c r="P375" s="6">
        <v>40281.35</v>
      </c>
    </row>
    <row r="376" spans="1:16" x14ac:dyDescent="0.3">
      <c r="A376" s="5" t="s">
        <v>712</v>
      </c>
      <c r="B376" s="2" t="s">
        <v>223</v>
      </c>
      <c r="C376" s="2" t="str">
        <f t="shared" si="5"/>
        <v>December</v>
      </c>
      <c r="D376" s="2" t="s">
        <v>2</v>
      </c>
      <c r="E376" s="2" t="s">
        <v>103</v>
      </c>
      <c r="F376" s="2" t="s">
        <v>104</v>
      </c>
      <c r="G376" s="2" t="s">
        <v>8</v>
      </c>
      <c r="H376" s="2" t="s">
        <v>64</v>
      </c>
      <c r="I376" s="2" t="s">
        <v>64</v>
      </c>
      <c r="J376" s="2" t="s">
        <v>12</v>
      </c>
      <c r="K376" s="2" t="s">
        <v>21</v>
      </c>
      <c r="L376" s="2">
        <v>8</v>
      </c>
      <c r="M376" s="2">
        <v>9509</v>
      </c>
      <c r="N376" s="2">
        <v>5</v>
      </c>
      <c r="O376" s="2">
        <v>72268.399999999994</v>
      </c>
      <c r="P376" s="6">
        <v>10885.28</v>
      </c>
    </row>
    <row r="377" spans="1:16" x14ac:dyDescent="0.3">
      <c r="A377" s="5" t="s">
        <v>713</v>
      </c>
      <c r="B377" s="2" t="s">
        <v>714</v>
      </c>
      <c r="C377" s="2" t="str">
        <f t="shared" si="5"/>
        <v>December</v>
      </c>
      <c r="D377" s="2" t="s">
        <v>3</v>
      </c>
      <c r="E377" s="2" t="s">
        <v>117</v>
      </c>
      <c r="F377" s="2" t="s">
        <v>117</v>
      </c>
      <c r="G377" s="2" t="s">
        <v>9</v>
      </c>
      <c r="H377" s="2" t="s">
        <v>72</v>
      </c>
      <c r="I377" s="2" t="s">
        <v>72</v>
      </c>
      <c r="J377" s="2" t="s">
        <v>16</v>
      </c>
      <c r="K377" s="2" t="s">
        <v>21</v>
      </c>
      <c r="L377" s="2">
        <v>2</v>
      </c>
      <c r="M377" s="2">
        <v>38278</v>
      </c>
      <c r="N377" s="2">
        <v>5</v>
      </c>
      <c r="O377" s="2">
        <v>72728.2</v>
      </c>
      <c r="P377" s="6">
        <v>18165.18</v>
      </c>
    </row>
    <row r="378" spans="1:16" x14ac:dyDescent="0.3">
      <c r="A378" s="5" t="s">
        <v>715</v>
      </c>
      <c r="B378" s="2" t="s">
        <v>408</v>
      </c>
      <c r="C378" s="2" t="str">
        <f t="shared" si="5"/>
        <v>December</v>
      </c>
      <c r="D378" s="2" t="s">
        <v>2</v>
      </c>
      <c r="E378" s="2" t="s">
        <v>81</v>
      </c>
      <c r="F378" s="2" t="s">
        <v>82</v>
      </c>
      <c r="G378" s="2" t="s">
        <v>8</v>
      </c>
      <c r="H378" s="2" t="s">
        <v>133</v>
      </c>
      <c r="I378" s="2" t="s">
        <v>133</v>
      </c>
      <c r="J378" s="2" t="s">
        <v>16</v>
      </c>
      <c r="K378" s="2" t="s">
        <v>22</v>
      </c>
      <c r="L378" s="2">
        <v>7</v>
      </c>
      <c r="M378" s="2">
        <v>37664</v>
      </c>
      <c r="N378" s="2">
        <v>20</v>
      </c>
      <c r="O378" s="2">
        <v>210918.39999999999</v>
      </c>
      <c r="P378" s="6">
        <v>14375.55</v>
      </c>
    </row>
    <row r="379" spans="1:16" x14ac:dyDescent="0.3">
      <c r="A379" s="5" t="s">
        <v>716</v>
      </c>
      <c r="B379" s="2" t="s">
        <v>717</v>
      </c>
      <c r="C379" s="2" t="str">
        <f t="shared" si="5"/>
        <v>May</v>
      </c>
      <c r="D379" s="2" t="s">
        <v>3</v>
      </c>
      <c r="E379" s="2" t="s">
        <v>75</v>
      </c>
      <c r="F379" s="2" t="s">
        <v>75</v>
      </c>
      <c r="G379" s="2" t="s">
        <v>10</v>
      </c>
      <c r="H379" s="2" t="s">
        <v>54</v>
      </c>
      <c r="I379" s="2" t="s">
        <v>54</v>
      </c>
      <c r="J379" s="2" t="s">
        <v>19</v>
      </c>
      <c r="K379" s="2" t="s">
        <v>22</v>
      </c>
      <c r="L379" s="2">
        <v>4</v>
      </c>
      <c r="M379" s="2">
        <v>33706</v>
      </c>
      <c r="N379" s="2">
        <v>10</v>
      </c>
      <c r="O379" s="2">
        <v>121341.6</v>
      </c>
      <c r="P379" s="6">
        <v>21834.29</v>
      </c>
    </row>
    <row r="380" spans="1:16" x14ac:dyDescent="0.3">
      <c r="A380" s="5" t="s">
        <v>718</v>
      </c>
      <c r="B380" s="2" t="s">
        <v>719</v>
      </c>
      <c r="C380" s="2" t="str">
        <f t="shared" si="5"/>
        <v>June</v>
      </c>
      <c r="D380" s="2" t="s">
        <v>3</v>
      </c>
      <c r="E380" s="2" t="s">
        <v>117</v>
      </c>
      <c r="F380" s="2" t="s">
        <v>117</v>
      </c>
      <c r="G380" s="2" t="s">
        <v>8</v>
      </c>
      <c r="H380" s="2" t="s">
        <v>93</v>
      </c>
      <c r="I380" s="2" t="s">
        <v>93</v>
      </c>
      <c r="J380" s="2" t="s">
        <v>13</v>
      </c>
      <c r="K380" s="2" t="s">
        <v>21</v>
      </c>
      <c r="L380" s="2">
        <v>3</v>
      </c>
      <c r="M380" s="2">
        <v>20486</v>
      </c>
      <c r="N380" s="2">
        <v>15</v>
      </c>
      <c r="O380" s="2">
        <v>52239.3</v>
      </c>
      <c r="P380" s="6">
        <v>6832.11</v>
      </c>
    </row>
    <row r="381" spans="1:16" x14ac:dyDescent="0.3">
      <c r="A381" s="5" t="s">
        <v>720</v>
      </c>
      <c r="B381" s="2" t="s">
        <v>721</v>
      </c>
      <c r="C381" s="2" t="str">
        <f t="shared" si="5"/>
        <v>January</v>
      </c>
      <c r="D381" s="2" t="s">
        <v>4</v>
      </c>
      <c r="E381" s="2" t="s">
        <v>62</v>
      </c>
      <c r="F381" s="2" t="s">
        <v>63</v>
      </c>
      <c r="G381" s="2" t="s">
        <v>9</v>
      </c>
      <c r="H381" s="2" t="s">
        <v>72</v>
      </c>
      <c r="I381" s="2" t="s">
        <v>72</v>
      </c>
      <c r="J381" s="2" t="s">
        <v>12</v>
      </c>
      <c r="K381" s="2" t="s">
        <v>21</v>
      </c>
      <c r="L381" s="2">
        <v>10</v>
      </c>
      <c r="M381" s="2">
        <v>8444</v>
      </c>
      <c r="N381" s="2">
        <v>10</v>
      </c>
      <c r="O381" s="2">
        <v>75996</v>
      </c>
      <c r="P381" s="6">
        <v>9871.86</v>
      </c>
    </row>
    <row r="382" spans="1:16" x14ac:dyDescent="0.3">
      <c r="A382" s="5" t="s">
        <v>722</v>
      </c>
      <c r="B382" s="2" t="s">
        <v>723</v>
      </c>
      <c r="C382" s="2" t="str">
        <f t="shared" si="5"/>
        <v>March</v>
      </c>
      <c r="D382" s="2" t="s">
        <v>3</v>
      </c>
      <c r="E382" s="2" t="s">
        <v>75</v>
      </c>
      <c r="F382" s="2" t="s">
        <v>75</v>
      </c>
      <c r="G382" s="2" t="s">
        <v>9</v>
      </c>
      <c r="H382" s="2" t="s">
        <v>90</v>
      </c>
      <c r="I382" s="2" t="s">
        <v>90</v>
      </c>
      <c r="J382" s="2" t="s">
        <v>12</v>
      </c>
      <c r="K382" s="2" t="s">
        <v>22</v>
      </c>
      <c r="L382" s="2">
        <v>9</v>
      </c>
      <c r="M382" s="2">
        <v>23702</v>
      </c>
      <c r="N382" s="2">
        <v>15</v>
      </c>
      <c r="O382" s="2">
        <v>181320.3</v>
      </c>
      <c r="P382" s="6">
        <v>53852.78</v>
      </c>
    </row>
    <row r="383" spans="1:16" x14ac:dyDescent="0.3">
      <c r="A383" s="5" t="s">
        <v>724</v>
      </c>
      <c r="B383" s="2" t="s">
        <v>725</v>
      </c>
      <c r="C383" s="2" t="str">
        <f t="shared" si="5"/>
        <v>February</v>
      </c>
      <c r="D383" s="2" t="s">
        <v>5</v>
      </c>
      <c r="E383" s="2" t="s">
        <v>52</v>
      </c>
      <c r="F383" s="2" t="s">
        <v>53</v>
      </c>
      <c r="G383" s="2" t="s">
        <v>9</v>
      </c>
      <c r="H383" s="2" t="s">
        <v>72</v>
      </c>
      <c r="I383" s="2" t="s">
        <v>72</v>
      </c>
      <c r="J383" s="2" t="s">
        <v>19</v>
      </c>
      <c r="K383" s="2" t="s">
        <v>22</v>
      </c>
      <c r="L383" s="2">
        <v>8</v>
      </c>
      <c r="M383" s="2">
        <v>48414</v>
      </c>
      <c r="N383" s="2">
        <v>10</v>
      </c>
      <c r="O383" s="2">
        <v>348580.8</v>
      </c>
      <c r="P383" s="6">
        <v>27575.31</v>
      </c>
    </row>
    <row r="384" spans="1:16" x14ac:dyDescent="0.3">
      <c r="A384" s="5" t="s">
        <v>726</v>
      </c>
      <c r="B384" s="2" t="s">
        <v>574</v>
      </c>
      <c r="C384" s="2" t="str">
        <f t="shared" si="5"/>
        <v>June</v>
      </c>
      <c r="D384" s="2" t="s">
        <v>3</v>
      </c>
      <c r="E384" s="2" t="s">
        <v>75</v>
      </c>
      <c r="F384" s="2" t="s">
        <v>75</v>
      </c>
      <c r="G384" s="2" t="s">
        <v>8</v>
      </c>
      <c r="H384" s="2" t="s">
        <v>64</v>
      </c>
      <c r="I384" s="2" t="s">
        <v>64</v>
      </c>
      <c r="J384" s="2" t="s">
        <v>17</v>
      </c>
      <c r="K384" s="2" t="s">
        <v>21</v>
      </c>
      <c r="L384" s="2">
        <v>2</v>
      </c>
      <c r="M384" s="2">
        <v>39532</v>
      </c>
      <c r="N384" s="2">
        <v>15</v>
      </c>
      <c r="O384" s="2">
        <v>67204.399999999994</v>
      </c>
      <c r="P384" s="6">
        <v>19933.439999999999</v>
      </c>
    </row>
    <row r="385" spans="1:16" x14ac:dyDescent="0.3">
      <c r="A385" s="5" t="s">
        <v>727</v>
      </c>
      <c r="B385" s="2" t="s">
        <v>728</v>
      </c>
      <c r="C385" s="2" t="str">
        <f t="shared" si="5"/>
        <v>March</v>
      </c>
      <c r="D385" s="2" t="s">
        <v>2</v>
      </c>
      <c r="E385" s="2" t="s">
        <v>81</v>
      </c>
      <c r="F385" s="2" t="s">
        <v>82</v>
      </c>
      <c r="G385" s="2" t="s">
        <v>10</v>
      </c>
      <c r="H385" s="2" t="s">
        <v>100</v>
      </c>
      <c r="I385" s="2" t="s">
        <v>100</v>
      </c>
      <c r="J385" s="2" t="s">
        <v>12</v>
      </c>
      <c r="K385" s="2" t="s">
        <v>22</v>
      </c>
      <c r="L385" s="2">
        <v>6</v>
      </c>
      <c r="M385" s="2">
        <v>5950</v>
      </c>
      <c r="N385" s="2">
        <v>5</v>
      </c>
      <c r="O385" s="2">
        <v>33915</v>
      </c>
      <c r="P385" s="6">
        <v>9684.41</v>
      </c>
    </row>
    <row r="386" spans="1:16" x14ac:dyDescent="0.3">
      <c r="A386" s="5" t="s">
        <v>729</v>
      </c>
      <c r="B386" s="2" t="s">
        <v>217</v>
      </c>
      <c r="C386" s="2" t="str">
        <f t="shared" si="5"/>
        <v>April</v>
      </c>
      <c r="D386" s="2" t="s">
        <v>4</v>
      </c>
      <c r="E386" s="2" t="s">
        <v>62</v>
      </c>
      <c r="F386" s="2" t="s">
        <v>63</v>
      </c>
      <c r="G386" s="2" t="s">
        <v>10</v>
      </c>
      <c r="H386" s="2" t="s">
        <v>69</v>
      </c>
      <c r="I386" s="2" t="s">
        <v>69</v>
      </c>
      <c r="J386" s="2" t="s">
        <v>13</v>
      </c>
      <c r="K386" s="2" t="s">
        <v>22</v>
      </c>
      <c r="L386" s="2">
        <v>5</v>
      </c>
      <c r="M386" s="2">
        <v>43316</v>
      </c>
      <c r="N386" s="2">
        <v>0</v>
      </c>
      <c r="O386" s="2">
        <v>216580</v>
      </c>
      <c r="P386" s="6">
        <v>45369.56</v>
      </c>
    </row>
    <row r="387" spans="1:16" x14ac:dyDescent="0.3">
      <c r="A387" s="5" t="s">
        <v>730</v>
      </c>
      <c r="B387" s="2" t="s">
        <v>181</v>
      </c>
      <c r="C387" s="2" t="str">
        <f t="shared" ref="C387:C450" si="6">TEXT(B387,"mmmm")</f>
        <v>March</v>
      </c>
      <c r="D387" s="2" t="s">
        <v>5</v>
      </c>
      <c r="E387" s="2" t="s">
        <v>52</v>
      </c>
      <c r="F387" s="2" t="s">
        <v>53</v>
      </c>
      <c r="G387" s="2" t="s">
        <v>8</v>
      </c>
      <c r="H387" s="2" t="s">
        <v>76</v>
      </c>
      <c r="I387" s="2" t="s">
        <v>76</v>
      </c>
      <c r="J387" s="2" t="s">
        <v>17</v>
      </c>
      <c r="K387" s="2" t="s">
        <v>21</v>
      </c>
      <c r="L387" s="2">
        <v>7</v>
      </c>
      <c r="M387" s="2">
        <v>6599</v>
      </c>
      <c r="N387" s="2">
        <v>15</v>
      </c>
      <c r="O387" s="2">
        <v>39264.050000000003</v>
      </c>
      <c r="P387" s="6">
        <v>10464.98</v>
      </c>
    </row>
    <row r="388" spans="1:16" x14ac:dyDescent="0.3">
      <c r="A388" s="5" t="s">
        <v>731</v>
      </c>
      <c r="B388" s="2" t="s">
        <v>732</v>
      </c>
      <c r="C388" s="2" t="str">
        <f t="shared" si="6"/>
        <v>August</v>
      </c>
      <c r="D388" s="2" t="s">
        <v>2</v>
      </c>
      <c r="E388" s="2" t="s">
        <v>81</v>
      </c>
      <c r="F388" s="2" t="s">
        <v>82</v>
      </c>
      <c r="G388" s="2" t="s">
        <v>8</v>
      </c>
      <c r="H388" s="2" t="s">
        <v>76</v>
      </c>
      <c r="I388" s="2" t="s">
        <v>76</v>
      </c>
      <c r="J388" s="2" t="s">
        <v>16</v>
      </c>
      <c r="K388" s="2" t="s">
        <v>22</v>
      </c>
      <c r="L388" s="2">
        <v>7</v>
      </c>
      <c r="M388" s="2">
        <v>3352</v>
      </c>
      <c r="N388" s="2">
        <v>5</v>
      </c>
      <c r="O388" s="2">
        <v>22290.799999999999</v>
      </c>
      <c r="P388" s="6">
        <v>1932.53</v>
      </c>
    </row>
    <row r="389" spans="1:16" x14ac:dyDescent="0.3">
      <c r="A389" s="5" t="s">
        <v>733</v>
      </c>
      <c r="B389" s="2" t="s">
        <v>734</v>
      </c>
      <c r="C389" s="2" t="str">
        <f t="shared" si="6"/>
        <v>June</v>
      </c>
      <c r="D389" s="2" t="s">
        <v>4</v>
      </c>
      <c r="E389" s="2" t="s">
        <v>62</v>
      </c>
      <c r="F389" s="2" t="s">
        <v>63</v>
      </c>
      <c r="G389" s="2" t="s">
        <v>8</v>
      </c>
      <c r="H389" s="2" t="s">
        <v>64</v>
      </c>
      <c r="I389" s="2" t="s">
        <v>64</v>
      </c>
      <c r="J389" s="2" t="s">
        <v>19</v>
      </c>
      <c r="K389" s="2" t="s">
        <v>22</v>
      </c>
      <c r="L389" s="2">
        <v>2</v>
      </c>
      <c r="M389" s="2">
        <v>13185</v>
      </c>
      <c r="N389" s="2">
        <v>5</v>
      </c>
      <c r="O389" s="2">
        <v>25051.5</v>
      </c>
      <c r="P389" s="6">
        <v>6018.78</v>
      </c>
    </row>
    <row r="390" spans="1:16" x14ac:dyDescent="0.3">
      <c r="A390" s="5" t="s">
        <v>735</v>
      </c>
      <c r="B390" s="2" t="s">
        <v>736</v>
      </c>
      <c r="C390" s="2" t="str">
        <f t="shared" si="6"/>
        <v>September</v>
      </c>
      <c r="D390" s="2" t="s">
        <v>3</v>
      </c>
      <c r="E390" s="2" t="s">
        <v>117</v>
      </c>
      <c r="F390" s="2" t="s">
        <v>117</v>
      </c>
      <c r="G390" s="2" t="s">
        <v>8</v>
      </c>
      <c r="H390" s="2" t="s">
        <v>64</v>
      </c>
      <c r="I390" s="2" t="s">
        <v>64</v>
      </c>
      <c r="J390" s="2" t="s">
        <v>19</v>
      </c>
      <c r="K390" s="2" t="s">
        <v>22</v>
      </c>
      <c r="L390" s="2">
        <v>4</v>
      </c>
      <c r="M390" s="2">
        <v>13296</v>
      </c>
      <c r="N390" s="2">
        <v>15</v>
      </c>
      <c r="O390" s="2">
        <v>45206.400000000001</v>
      </c>
      <c r="P390" s="6">
        <v>7205.32</v>
      </c>
    </row>
    <row r="391" spans="1:16" x14ac:dyDescent="0.3">
      <c r="A391" s="5" t="s">
        <v>737</v>
      </c>
      <c r="B391" s="2" t="s">
        <v>332</v>
      </c>
      <c r="C391" s="2" t="str">
        <f t="shared" si="6"/>
        <v>July</v>
      </c>
      <c r="D391" s="2" t="s">
        <v>3</v>
      </c>
      <c r="E391" s="2" t="s">
        <v>75</v>
      </c>
      <c r="F391" s="2" t="s">
        <v>75</v>
      </c>
      <c r="G391" s="2" t="s">
        <v>10</v>
      </c>
      <c r="H391" s="2" t="s">
        <v>100</v>
      </c>
      <c r="I391" s="2" t="s">
        <v>100</v>
      </c>
      <c r="J391" s="2" t="s">
        <v>14</v>
      </c>
      <c r="K391" s="2" t="s">
        <v>21</v>
      </c>
      <c r="L391" s="2">
        <v>8</v>
      </c>
      <c r="M391" s="2">
        <v>37523</v>
      </c>
      <c r="N391" s="2">
        <v>15</v>
      </c>
      <c r="O391" s="2">
        <v>255156.4</v>
      </c>
      <c r="P391" s="6">
        <v>28705.05</v>
      </c>
    </row>
    <row r="392" spans="1:16" x14ac:dyDescent="0.3">
      <c r="A392" s="5" t="s">
        <v>738</v>
      </c>
      <c r="B392" s="2" t="s">
        <v>245</v>
      </c>
      <c r="C392" s="2" t="str">
        <f t="shared" si="6"/>
        <v>July</v>
      </c>
      <c r="D392" s="2" t="s">
        <v>2</v>
      </c>
      <c r="E392" s="2" t="s">
        <v>81</v>
      </c>
      <c r="F392" s="2" t="s">
        <v>82</v>
      </c>
      <c r="G392" s="2" t="s">
        <v>8</v>
      </c>
      <c r="H392" s="2" t="s">
        <v>133</v>
      </c>
      <c r="I392" s="2" t="s">
        <v>133</v>
      </c>
      <c r="J392" s="2" t="s">
        <v>18</v>
      </c>
      <c r="K392" s="2" t="s">
        <v>22</v>
      </c>
      <c r="L392" s="2">
        <v>8</v>
      </c>
      <c r="M392" s="2">
        <v>33575</v>
      </c>
      <c r="N392" s="2">
        <v>20</v>
      </c>
      <c r="O392" s="2">
        <v>214880</v>
      </c>
      <c r="P392" s="6">
        <v>24129.42</v>
      </c>
    </row>
    <row r="393" spans="1:16" x14ac:dyDescent="0.3">
      <c r="A393" s="5" t="s">
        <v>739</v>
      </c>
      <c r="B393" s="2" t="s">
        <v>156</v>
      </c>
      <c r="C393" s="2" t="str">
        <f t="shared" si="6"/>
        <v>December</v>
      </c>
      <c r="D393" s="2" t="s">
        <v>4</v>
      </c>
      <c r="E393" s="2" t="s">
        <v>62</v>
      </c>
      <c r="F393" s="2" t="s">
        <v>63</v>
      </c>
      <c r="G393" s="2" t="s">
        <v>9</v>
      </c>
      <c r="H393" s="2" t="s">
        <v>72</v>
      </c>
      <c r="I393" s="2" t="s">
        <v>72</v>
      </c>
      <c r="J393" s="2" t="s">
        <v>12</v>
      </c>
      <c r="K393" s="2" t="s">
        <v>22</v>
      </c>
      <c r="L393" s="2">
        <v>8</v>
      </c>
      <c r="M393" s="2">
        <v>32646</v>
      </c>
      <c r="N393" s="2">
        <v>5</v>
      </c>
      <c r="O393" s="2">
        <v>248109.6</v>
      </c>
      <c r="P393" s="6">
        <v>49774.76</v>
      </c>
    </row>
    <row r="394" spans="1:16" x14ac:dyDescent="0.3">
      <c r="A394" s="5" t="s">
        <v>740</v>
      </c>
      <c r="B394" s="2" t="s">
        <v>599</v>
      </c>
      <c r="C394" s="2" t="str">
        <f t="shared" si="6"/>
        <v>June</v>
      </c>
      <c r="D394" s="2" t="s">
        <v>2</v>
      </c>
      <c r="E394" s="2" t="s">
        <v>81</v>
      </c>
      <c r="F394" s="2" t="s">
        <v>82</v>
      </c>
      <c r="G394" s="2" t="s">
        <v>10</v>
      </c>
      <c r="H394" s="2" t="s">
        <v>83</v>
      </c>
      <c r="I394" s="2" t="s">
        <v>83</v>
      </c>
      <c r="J394" s="2" t="s">
        <v>13</v>
      </c>
      <c r="K394" s="2" t="s">
        <v>21</v>
      </c>
      <c r="L394" s="2">
        <v>3</v>
      </c>
      <c r="M394" s="2">
        <v>6683</v>
      </c>
      <c r="N394" s="2">
        <v>5</v>
      </c>
      <c r="O394" s="2">
        <v>19046.55</v>
      </c>
      <c r="P394" s="6">
        <v>4781.53</v>
      </c>
    </row>
    <row r="395" spans="1:16" x14ac:dyDescent="0.3">
      <c r="A395" s="5" t="s">
        <v>741</v>
      </c>
      <c r="B395" s="2" t="s">
        <v>742</v>
      </c>
      <c r="C395" s="2" t="str">
        <f t="shared" si="6"/>
        <v>February</v>
      </c>
      <c r="D395" s="2" t="s">
        <v>2</v>
      </c>
      <c r="E395" s="2" t="s">
        <v>81</v>
      </c>
      <c r="F395" s="2" t="s">
        <v>82</v>
      </c>
      <c r="G395" s="2" t="s">
        <v>9</v>
      </c>
      <c r="H395" s="2" t="s">
        <v>72</v>
      </c>
      <c r="I395" s="2" t="s">
        <v>72</v>
      </c>
      <c r="J395" s="2" t="s">
        <v>12</v>
      </c>
      <c r="K395" s="2" t="s">
        <v>22</v>
      </c>
      <c r="L395" s="2">
        <v>3</v>
      </c>
      <c r="M395" s="2">
        <v>28716</v>
      </c>
      <c r="N395" s="2">
        <v>15</v>
      </c>
      <c r="O395" s="2">
        <v>73225.8</v>
      </c>
      <c r="P395" s="6">
        <v>16385.52</v>
      </c>
    </row>
    <row r="396" spans="1:16" x14ac:dyDescent="0.3">
      <c r="A396" s="5" t="s">
        <v>743</v>
      </c>
      <c r="B396" s="2" t="s">
        <v>478</v>
      </c>
      <c r="C396" s="2" t="str">
        <f t="shared" si="6"/>
        <v>April</v>
      </c>
      <c r="D396" s="2" t="s">
        <v>4</v>
      </c>
      <c r="E396" s="2" t="s">
        <v>62</v>
      </c>
      <c r="F396" s="2" t="s">
        <v>63</v>
      </c>
      <c r="G396" s="2" t="s">
        <v>8</v>
      </c>
      <c r="H396" s="2" t="s">
        <v>93</v>
      </c>
      <c r="I396" s="2" t="s">
        <v>93</v>
      </c>
      <c r="J396" s="2" t="s">
        <v>18</v>
      </c>
      <c r="K396" s="2" t="s">
        <v>22</v>
      </c>
      <c r="L396" s="2">
        <v>10</v>
      </c>
      <c r="M396" s="2">
        <v>33213</v>
      </c>
      <c r="N396" s="2">
        <v>10</v>
      </c>
      <c r="O396" s="2">
        <v>298917</v>
      </c>
      <c r="P396" s="6">
        <v>56839.6</v>
      </c>
    </row>
    <row r="397" spans="1:16" x14ac:dyDescent="0.3">
      <c r="A397" s="5" t="s">
        <v>744</v>
      </c>
      <c r="B397" s="2" t="s">
        <v>457</v>
      </c>
      <c r="C397" s="2" t="str">
        <f t="shared" si="6"/>
        <v>March</v>
      </c>
      <c r="D397" s="2" t="s">
        <v>5</v>
      </c>
      <c r="E397" s="2" t="s">
        <v>57</v>
      </c>
      <c r="F397" s="2" t="s">
        <v>58</v>
      </c>
      <c r="G397" s="2" t="s">
        <v>8</v>
      </c>
      <c r="H397" s="2" t="s">
        <v>64</v>
      </c>
      <c r="I397" s="2" t="s">
        <v>64</v>
      </c>
      <c r="J397" s="2" t="s">
        <v>19</v>
      </c>
      <c r="K397" s="2" t="s">
        <v>22</v>
      </c>
      <c r="L397" s="2">
        <v>6</v>
      </c>
      <c r="M397" s="2">
        <v>34876</v>
      </c>
      <c r="N397" s="2">
        <v>20</v>
      </c>
      <c r="O397" s="2">
        <v>167404.79999999999</v>
      </c>
      <c r="P397" s="6">
        <v>13621.68</v>
      </c>
    </row>
    <row r="398" spans="1:16" x14ac:dyDescent="0.3">
      <c r="A398" s="5" t="s">
        <v>745</v>
      </c>
      <c r="B398" s="2" t="s">
        <v>697</v>
      </c>
      <c r="C398" s="2" t="str">
        <f t="shared" si="6"/>
        <v>June</v>
      </c>
      <c r="D398" s="2" t="s">
        <v>2</v>
      </c>
      <c r="E398" s="2" t="s">
        <v>81</v>
      </c>
      <c r="F398" s="2" t="s">
        <v>82</v>
      </c>
      <c r="G398" s="2" t="s">
        <v>10</v>
      </c>
      <c r="H398" s="2" t="s">
        <v>83</v>
      </c>
      <c r="I398" s="2" t="s">
        <v>83</v>
      </c>
      <c r="J398" s="2" t="s">
        <v>15</v>
      </c>
      <c r="K398" s="2" t="s">
        <v>22</v>
      </c>
      <c r="L398" s="2">
        <v>7</v>
      </c>
      <c r="M398" s="2">
        <v>12904</v>
      </c>
      <c r="N398" s="2">
        <v>20</v>
      </c>
      <c r="O398" s="2">
        <v>72262.399999999994</v>
      </c>
      <c r="P398" s="6">
        <v>16411.55</v>
      </c>
    </row>
    <row r="399" spans="1:16" x14ac:dyDescent="0.3">
      <c r="A399" s="5" t="s">
        <v>746</v>
      </c>
      <c r="B399" s="2" t="s">
        <v>747</v>
      </c>
      <c r="C399" s="2" t="str">
        <f t="shared" si="6"/>
        <v>August</v>
      </c>
      <c r="D399" s="2" t="s">
        <v>4</v>
      </c>
      <c r="E399" s="2" t="s">
        <v>62</v>
      </c>
      <c r="F399" s="2" t="s">
        <v>63</v>
      </c>
      <c r="G399" s="2" t="s">
        <v>10</v>
      </c>
      <c r="H399" s="2" t="s">
        <v>54</v>
      </c>
      <c r="I399" s="2" t="s">
        <v>54</v>
      </c>
      <c r="J399" s="2" t="s">
        <v>19</v>
      </c>
      <c r="K399" s="2" t="s">
        <v>22</v>
      </c>
      <c r="L399" s="2">
        <v>3</v>
      </c>
      <c r="M399" s="2">
        <v>4641</v>
      </c>
      <c r="N399" s="2">
        <v>20</v>
      </c>
      <c r="O399" s="2">
        <v>11138.4</v>
      </c>
      <c r="P399" s="6">
        <v>2185.25</v>
      </c>
    </row>
    <row r="400" spans="1:16" x14ac:dyDescent="0.3">
      <c r="A400" s="5" t="s">
        <v>748</v>
      </c>
      <c r="B400" s="2" t="s">
        <v>749</v>
      </c>
      <c r="C400" s="2" t="str">
        <f t="shared" si="6"/>
        <v>April</v>
      </c>
      <c r="D400" s="2" t="s">
        <v>2</v>
      </c>
      <c r="E400" s="2" t="s">
        <v>103</v>
      </c>
      <c r="F400" s="2" t="s">
        <v>104</v>
      </c>
      <c r="G400" s="2" t="s">
        <v>9</v>
      </c>
      <c r="H400" s="2" t="s">
        <v>90</v>
      </c>
      <c r="I400" s="2" t="s">
        <v>90</v>
      </c>
      <c r="J400" s="2" t="s">
        <v>15</v>
      </c>
      <c r="K400" s="2" t="s">
        <v>21</v>
      </c>
      <c r="L400" s="2">
        <v>8</v>
      </c>
      <c r="M400" s="2">
        <v>7650</v>
      </c>
      <c r="N400" s="2">
        <v>0</v>
      </c>
      <c r="O400" s="2">
        <v>61200</v>
      </c>
      <c r="P400" s="6">
        <v>5264.38</v>
      </c>
    </row>
    <row r="401" spans="1:16" x14ac:dyDescent="0.3">
      <c r="A401" s="5" t="s">
        <v>750</v>
      </c>
      <c r="B401" s="2" t="s">
        <v>464</v>
      </c>
      <c r="C401" s="2" t="str">
        <f t="shared" si="6"/>
        <v>May</v>
      </c>
      <c r="D401" s="2" t="s">
        <v>5</v>
      </c>
      <c r="E401" s="2" t="s">
        <v>57</v>
      </c>
      <c r="F401" s="2" t="s">
        <v>58</v>
      </c>
      <c r="G401" s="2" t="s">
        <v>8</v>
      </c>
      <c r="H401" s="2" t="s">
        <v>64</v>
      </c>
      <c r="I401" s="2" t="s">
        <v>64</v>
      </c>
      <c r="J401" s="2" t="s">
        <v>13</v>
      </c>
      <c r="K401" s="2" t="s">
        <v>22</v>
      </c>
      <c r="L401" s="2">
        <v>1</v>
      </c>
      <c r="M401" s="2">
        <v>22239</v>
      </c>
      <c r="N401" s="2">
        <v>0</v>
      </c>
      <c r="O401" s="2">
        <v>22239</v>
      </c>
      <c r="P401" s="6">
        <v>4275.08</v>
      </c>
    </row>
    <row r="402" spans="1:16" x14ac:dyDescent="0.3">
      <c r="A402" s="5" t="s">
        <v>751</v>
      </c>
      <c r="B402" s="2" t="s">
        <v>102</v>
      </c>
      <c r="C402" s="2" t="str">
        <f t="shared" si="6"/>
        <v>February</v>
      </c>
      <c r="D402" s="2" t="s">
        <v>3</v>
      </c>
      <c r="E402" s="2" t="s">
        <v>117</v>
      </c>
      <c r="F402" s="2" t="s">
        <v>117</v>
      </c>
      <c r="G402" s="2" t="s">
        <v>8</v>
      </c>
      <c r="H402" s="2" t="s">
        <v>64</v>
      </c>
      <c r="I402" s="2" t="s">
        <v>64</v>
      </c>
      <c r="J402" s="2" t="s">
        <v>17</v>
      </c>
      <c r="K402" s="2" t="s">
        <v>22</v>
      </c>
      <c r="L402" s="2">
        <v>7</v>
      </c>
      <c r="M402" s="2">
        <v>25328</v>
      </c>
      <c r="N402" s="2">
        <v>5</v>
      </c>
      <c r="O402" s="2">
        <v>168431.2</v>
      </c>
      <c r="P402" s="6">
        <v>10937.93</v>
      </c>
    </row>
    <row r="403" spans="1:16" x14ac:dyDescent="0.3">
      <c r="A403" s="5" t="s">
        <v>752</v>
      </c>
      <c r="B403" s="2" t="s">
        <v>306</v>
      </c>
      <c r="C403" s="2" t="str">
        <f t="shared" si="6"/>
        <v>August</v>
      </c>
      <c r="D403" s="2" t="s">
        <v>3</v>
      </c>
      <c r="E403" s="2" t="s">
        <v>75</v>
      </c>
      <c r="F403" s="2" t="s">
        <v>75</v>
      </c>
      <c r="G403" s="2" t="s">
        <v>10</v>
      </c>
      <c r="H403" s="2" t="s">
        <v>69</v>
      </c>
      <c r="I403" s="2" t="s">
        <v>69</v>
      </c>
      <c r="J403" s="2" t="s">
        <v>19</v>
      </c>
      <c r="K403" s="2" t="s">
        <v>22</v>
      </c>
      <c r="L403" s="2">
        <v>2</v>
      </c>
      <c r="M403" s="2">
        <v>17702</v>
      </c>
      <c r="N403" s="2">
        <v>15</v>
      </c>
      <c r="O403" s="2">
        <v>30093.4</v>
      </c>
      <c r="P403" s="6">
        <v>3956.47</v>
      </c>
    </row>
    <row r="404" spans="1:16" x14ac:dyDescent="0.3">
      <c r="A404" s="5" t="s">
        <v>753</v>
      </c>
      <c r="B404" s="2" t="s">
        <v>754</v>
      </c>
      <c r="C404" s="2" t="str">
        <f t="shared" si="6"/>
        <v>July</v>
      </c>
      <c r="D404" s="2" t="s">
        <v>5</v>
      </c>
      <c r="E404" s="2" t="s">
        <v>52</v>
      </c>
      <c r="F404" s="2" t="s">
        <v>53</v>
      </c>
      <c r="G404" s="2" t="s">
        <v>10</v>
      </c>
      <c r="H404" s="2" t="s">
        <v>83</v>
      </c>
      <c r="I404" s="2" t="s">
        <v>83</v>
      </c>
      <c r="J404" s="2" t="s">
        <v>15</v>
      </c>
      <c r="K404" s="2" t="s">
        <v>21</v>
      </c>
      <c r="L404" s="2">
        <v>2</v>
      </c>
      <c r="M404" s="2">
        <v>14410</v>
      </c>
      <c r="N404" s="2">
        <v>15</v>
      </c>
      <c r="O404" s="2">
        <v>24497</v>
      </c>
      <c r="P404" s="6">
        <v>4931.78</v>
      </c>
    </row>
    <row r="405" spans="1:16" x14ac:dyDescent="0.3">
      <c r="A405" s="5" t="s">
        <v>755</v>
      </c>
      <c r="B405" s="2" t="s">
        <v>347</v>
      </c>
      <c r="C405" s="2" t="str">
        <f t="shared" si="6"/>
        <v>September</v>
      </c>
      <c r="D405" s="2" t="s">
        <v>5</v>
      </c>
      <c r="E405" s="2" t="s">
        <v>52</v>
      </c>
      <c r="F405" s="2" t="s">
        <v>53</v>
      </c>
      <c r="G405" s="2" t="s">
        <v>9</v>
      </c>
      <c r="H405" s="2" t="s">
        <v>90</v>
      </c>
      <c r="I405" s="2" t="s">
        <v>90</v>
      </c>
      <c r="J405" s="2" t="s">
        <v>19</v>
      </c>
      <c r="K405" s="2" t="s">
        <v>22</v>
      </c>
      <c r="L405" s="2">
        <v>2</v>
      </c>
      <c r="M405" s="2">
        <v>7563</v>
      </c>
      <c r="N405" s="2">
        <v>5</v>
      </c>
      <c r="O405" s="2">
        <v>14369.7</v>
      </c>
      <c r="P405" s="6">
        <v>1478.91</v>
      </c>
    </row>
    <row r="406" spans="1:16" x14ac:dyDescent="0.3">
      <c r="A406" s="5" t="s">
        <v>756</v>
      </c>
      <c r="B406" s="2" t="s">
        <v>757</v>
      </c>
      <c r="C406" s="2" t="str">
        <f t="shared" si="6"/>
        <v>February</v>
      </c>
      <c r="D406" s="2" t="s">
        <v>3</v>
      </c>
      <c r="E406" s="2" t="s">
        <v>117</v>
      </c>
      <c r="F406" s="2" t="s">
        <v>117</v>
      </c>
      <c r="G406" s="2" t="s">
        <v>10</v>
      </c>
      <c r="H406" s="2" t="s">
        <v>69</v>
      </c>
      <c r="I406" s="2" t="s">
        <v>69</v>
      </c>
      <c r="J406" s="2" t="s">
        <v>19</v>
      </c>
      <c r="K406" s="2" t="s">
        <v>21</v>
      </c>
      <c r="L406" s="2">
        <v>5</v>
      </c>
      <c r="M406" s="2">
        <v>17831</v>
      </c>
      <c r="N406" s="2">
        <v>10</v>
      </c>
      <c r="O406" s="2">
        <v>80239.5</v>
      </c>
      <c r="P406" s="6">
        <v>4943.79</v>
      </c>
    </row>
    <row r="407" spans="1:16" x14ac:dyDescent="0.3">
      <c r="A407" s="5" t="s">
        <v>758</v>
      </c>
      <c r="B407" s="2" t="s">
        <v>759</v>
      </c>
      <c r="C407" s="2" t="str">
        <f t="shared" si="6"/>
        <v>January</v>
      </c>
      <c r="D407" s="2" t="s">
        <v>5</v>
      </c>
      <c r="E407" s="2" t="s">
        <v>57</v>
      </c>
      <c r="F407" s="2" t="s">
        <v>58</v>
      </c>
      <c r="G407" s="2" t="s">
        <v>8</v>
      </c>
      <c r="H407" s="2" t="s">
        <v>64</v>
      </c>
      <c r="I407" s="2" t="s">
        <v>64</v>
      </c>
      <c r="J407" s="2" t="s">
        <v>16</v>
      </c>
      <c r="K407" s="2" t="s">
        <v>22</v>
      </c>
      <c r="L407" s="2">
        <v>6</v>
      </c>
      <c r="M407" s="2">
        <v>15344</v>
      </c>
      <c r="N407" s="2">
        <v>15</v>
      </c>
      <c r="O407" s="2">
        <v>78254.399999999994</v>
      </c>
      <c r="P407" s="6">
        <v>18932.86</v>
      </c>
    </row>
    <row r="408" spans="1:16" x14ac:dyDescent="0.3">
      <c r="A408" s="5" t="s">
        <v>760</v>
      </c>
      <c r="B408" s="2" t="s">
        <v>417</v>
      </c>
      <c r="C408" s="2" t="str">
        <f t="shared" si="6"/>
        <v>January</v>
      </c>
      <c r="D408" s="2" t="s">
        <v>3</v>
      </c>
      <c r="E408" s="2" t="s">
        <v>75</v>
      </c>
      <c r="F408" s="2" t="s">
        <v>75</v>
      </c>
      <c r="G408" s="2" t="s">
        <v>9</v>
      </c>
      <c r="H408" s="2" t="s">
        <v>126</v>
      </c>
      <c r="I408" s="2" t="s">
        <v>126</v>
      </c>
      <c r="J408" s="2" t="s">
        <v>13</v>
      </c>
      <c r="K408" s="2" t="s">
        <v>22</v>
      </c>
      <c r="L408" s="2">
        <v>4</v>
      </c>
      <c r="M408" s="2">
        <v>15670</v>
      </c>
      <c r="N408" s="2">
        <v>15</v>
      </c>
      <c r="O408" s="2">
        <v>53278</v>
      </c>
      <c r="P408" s="6">
        <v>9394.23</v>
      </c>
    </row>
    <row r="409" spans="1:16" x14ac:dyDescent="0.3">
      <c r="A409" s="5" t="s">
        <v>761</v>
      </c>
      <c r="B409" s="2" t="s">
        <v>762</v>
      </c>
      <c r="C409" s="2" t="str">
        <f t="shared" si="6"/>
        <v>June</v>
      </c>
      <c r="D409" s="2" t="s">
        <v>2</v>
      </c>
      <c r="E409" s="2" t="s">
        <v>103</v>
      </c>
      <c r="F409" s="2" t="s">
        <v>104</v>
      </c>
      <c r="G409" s="2" t="s">
        <v>8</v>
      </c>
      <c r="H409" s="2" t="s">
        <v>93</v>
      </c>
      <c r="I409" s="2" t="s">
        <v>93</v>
      </c>
      <c r="J409" s="2" t="s">
        <v>13</v>
      </c>
      <c r="K409" s="2" t="s">
        <v>21</v>
      </c>
      <c r="L409" s="2">
        <v>3</v>
      </c>
      <c r="M409" s="2">
        <v>47937</v>
      </c>
      <c r="N409" s="2">
        <v>0</v>
      </c>
      <c r="O409" s="2">
        <v>143811</v>
      </c>
      <c r="P409" s="6">
        <v>36335.22</v>
      </c>
    </row>
    <row r="410" spans="1:16" x14ac:dyDescent="0.3">
      <c r="A410" s="5" t="s">
        <v>763</v>
      </c>
      <c r="B410" s="2" t="s">
        <v>354</v>
      </c>
      <c r="C410" s="2" t="str">
        <f t="shared" si="6"/>
        <v>May</v>
      </c>
      <c r="D410" s="2" t="s">
        <v>4</v>
      </c>
      <c r="E410" s="2" t="s">
        <v>62</v>
      </c>
      <c r="F410" s="2" t="s">
        <v>63</v>
      </c>
      <c r="G410" s="2" t="s">
        <v>10</v>
      </c>
      <c r="H410" s="2" t="s">
        <v>100</v>
      </c>
      <c r="I410" s="2" t="s">
        <v>100</v>
      </c>
      <c r="J410" s="2" t="s">
        <v>17</v>
      </c>
      <c r="K410" s="2" t="s">
        <v>22</v>
      </c>
      <c r="L410" s="2">
        <v>3</v>
      </c>
      <c r="M410" s="2">
        <v>43062</v>
      </c>
      <c r="N410" s="2">
        <v>20</v>
      </c>
      <c r="O410" s="2">
        <v>103348.8</v>
      </c>
      <c r="P410" s="6">
        <v>19182.09</v>
      </c>
    </row>
    <row r="411" spans="1:16" x14ac:dyDescent="0.3">
      <c r="A411" s="5" t="s">
        <v>764</v>
      </c>
      <c r="B411" s="2" t="s">
        <v>503</v>
      </c>
      <c r="C411" s="2" t="str">
        <f t="shared" si="6"/>
        <v>March</v>
      </c>
      <c r="D411" s="2" t="s">
        <v>4</v>
      </c>
      <c r="E411" s="2" t="s">
        <v>67</v>
      </c>
      <c r="F411" s="2" t="s">
        <v>68</v>
      </c>
      <c r="G411" s="2" t="s">
        <v>8</v>
      </c>
      <c r="H411" s="2" t="s">
        <v>76</v>
      </c>
      <c r="I411" s="2" t="s">
        <v>76</v>
      </c>
      <c r="J411" s="2" t="s">
        <v>15</v>
      </c>
      <c r="K411" s="2" t="s">
        <v>21</v>
      </c>
      <c r="L411" s="2">
        <v>3</v>
      </c>
      <c r="M411" s="2">
        <v>47115</v>
      </c>
      <c r="N411" s="2">
        <v>20</v>
      </c>
      <c r="O411" s="2">
        <v>113076</v>
      </c>
      <c r="P411" s="6">
        <v>11637.33</v>
      </c>
    </row>
    <row r="412" spans="1:16" x14ac:dyDescent="0.3">
      <c r="A412" s="5" t="s">
        <v>765</v>
      </c>
      <c r="B412" s="2" t="s">
        <v>670</v>
      </c>
      <c r="C412" s="2" t="str">
        <f t="shared" si="6"/>
        <v>November</v>
      </c>
      <c r="D412" s="2" t="s">
        <v>5</v>
      </c>
      <c r="E412" s="2" t="s">
        <v>57</v>
      </c>
      <c r="F412" s="2" t="s">
        <v>58</v>
      </c>
      <c r="G412" s="2" t="s">
        <v>10</v>
      </c>
      <c r="H412" s="2" t="s">
        <v>54</v>
      </c>
      <c r="I412" s="2" t="s">
        <v>54</v>
      </c>
      <c r="J412" s="2" t="s">
        <v>19</v>
      </c>
      <c r="K412" s="2" t="s">
        <v>21</v>
      </c>
      <c r="L412" s="2">
        <v>5</v>
      </c>
      <c r="M412" s="2">
        <v>1714</v>
      </c>
      <c r="N412" s="2">
        <v>10</v>
      </c>
      <c r="O412" s="2">
        <v>7713</v>
      </c>
      <c r="P412" s="6">
        <v>645.97</v>
      </c>
    </row>
    <row r="413" spans="1:16" x14ac:dyDescent="0.3">
      <c r="A413" s="5" t="s">
        <v>766</v>
      </c>
      <c r="B413" s="2" t="s">
        <v>767</v>
      </c>
      <c r="C413" s="2" t="str">
        <f t="shared" si="6"/>
        <v>April</v>
      </c>
      <c r="D413" s="2" t="s">
        <v>4</v>
      </c>
      <c r="E413" s="2" t="s">
        <v>67</v>
      </c>
      <c r="F413" s="2" t="s">
        <v>68</v>
      </c>
      <c r="G413" s="2" t="s">
        <v>8</v>
      </c>
      <c r="H413" s="2" t="s">
        <v>76</v>
      </c>
      <c r="I413" s="2" t="s">
        <v>76</v>
      </c>
      <c r="J413" s="2" t="s">
        <v>16</v>
      </c>
      <c r="K413" s="2" t="s">
        <v>22</v>
      </c>
      <c r="L413" s="2">
        <v>3</v>
      </c>
      <c r="M413" s="2">
        <v>49720</v>
      </c>
      <c r="N413" s="2">
        <v>20</v>
      </c>
      <c r="O413" s="2">
        <v>119328</v>
      </c>
      <c r="P413" s="6">
        <v>33147.199999999997</v>
      </c>
    </row>
    <row r="414" spans="1:16" x14ac:dyDescent="0.3">
      <c r="A414" s="5" t="s">
        <v>768</v>
      </c>
      <c r="B414" s="2" t="s">
        <v>769</v>
      </c>
      <c r="C414" s="2" t="str">
        <f t="shared" si="6"/>
        <v>May</v>
      </c>
      <c r="D414" s="2" t="s">
        <v>2</v>
      </c>
      <c r="E414" s="2" t="s">
        <v>103</v>
      </c>
      <c r="F414" s="2" t="s">
        <v>104</v>
      </c>
      <c r="G414" s="2" t="s">
        <v>10</v>
      </c>
      <c r="H414" s="2" t="s">
        <v>69</v>
      </c>
      <c r="I414" s="2" t="s">
        <v>69</v>
      </c>
      <c r="J414" s="2" t="s">
        <v>18</v>
      </c>
      <c r="K414" s="2" t="s">
        <v>22</v>
      </c>
      <c r="L414" s="2">
        <v>4</v>
      </c>
      <c r="M414" s="2">
        <v>39950</v>
      </c>
      <c r="N414" s="2">
        <v>15</v>
      </c>
      <c r="O414" s="2">
        <v>135830</v>
      </c>
      <c r="P414" s="6">
        <v>9487.5</v>
      </c>
    </row>
    <row r="415" spans="1:16" x14ac:dyDescent="0.3">
      <c r="A415" s="5" t="s">
        <v>770</v>
      </c>
      <c r="B415" s="2" t="s">
        <v>771</v>
      </c>
      <c r="C415" s="2" t="str">
        <f t="shared" si="6"/>
        <v>August</v>
      </c>
      <c r="D415" s="2" t="s">
        <v>5</v>
      </c>
      <c r="E415" s="2" t="s">
        <v>52</v>
      </c>
      <c r="F415" s="2" t="s">
        <v>53</v>
      </c>
      <c r="G415" s="2" t="s">
        <v>9</v>
      </c>
      <c r="H415" s="2" t="s">
        <v>90</v>
      </c>
      <c r="I415" s="2" t="s">
        <v>90</v>
      </c>
      <c r="J415" s="2" t="s">
        <v>12</v>
      </c>
      <c r="K415" s="2" t="s">
        <v>22</v>
      </c>
      <c r="L415" s="2">
        <v>6</v>
      </c>
      <c r="M415" s="2">
        <v>18977</v>
      </c>
      <c r="N415" s="2">
        <v>5</v>
      </c>
      <c r="O415" s="2">
        <v>108168.9</v>
      </c>
      <c r="P415" s="6">
        <v>29097.32</v>
      </c>
    </row>
    <row r="416" spans="1:16" x14ac:dyDescent="0.3">
      <c r="A416" s="5" t="s">
        <v>772</v>
      </c>
      <c r="B416" s="2" t="s">
        <v>773</v>
      </c>
      <c r="C416" s="2" t="str">
        <f t="shared" si="6"/>
        <v>May</v>
      </c>
      <c r="D416" s="2" t="s">
        <v>2</v>
      </c>
      <c r="E416" s="2" t="s">
        <v>103</v>
      </c>
      <c r="F416" s="2" t="s">
        <v>104</v>
      </c>
      <c r="G416" s="2" t="s">
        <v>8</v>
      </c>
      <c r="H416" s="2" t="s">
        <v>64</v>
      </c>
      <c r="I416" s="2" t="s">
        <v>64</v>
      </c>
      <c r="J416" s="2" t="s">
        <v>19</v>
      </c>
      <c r="K416" s="2" t="s">
        <v>22</v>
      </c>
      <c r="L416" s="2">
        <v>9</v>
      </c>
      <c r="M416" s="2">
        <v>30023</v>
      </c>
      <c r="N416" s="2">
        <v>0</v>
      </c>
      <c r="O416" s="2">
        <v>270207</v>
      </c>
      <c r="P416" s="6">
        <v>39706.07</v>
      </c>
    </row>
    <row r="417" spans="1:16" x14ac:dyDescent="0.3">
      <c r="A417" s="5" t="s">
        <v>774</v>
      </c>
      <c r="B417" s="2" t="s">
        <v>163</v>
      </c>
      <c r="C417" s="2" t="str">
        <f t="shared" si="6"/>
        <v>March</v>
      </c>
      <c r="D417" s="2" t="s">
        <v>2</v>
      </c>
      <c r="E417" s="2" t="s">
        <v>103</v>
      </c>
      <c r="F417" s="2" t="s">
        <v>104</v>
      </c>
      <c r="G417" s="2" t="s">
        <v>9</v>
      </c>
      <c r="H417" s="2" t="s">
        <v>126</v>
      </c>
      <c r="I417" s="2" t="s">
        <v>126</v>
      </c>
      <c r="J417" s="2" t="s">
        <v>17</v>
      </c>
      <c r="K417" s="2" t="s">
        <v>22</v>
      </c>
      <c r="L417" s="2">
        <v>6</v>
      </c>
      <c r="M417" s="2">
        <v>1164</v>
      </c>
      <c r="N417" s="2">
        <v>10</v>
      </c>
      <c r="O417" s="2">
        <v>6285.6</v>
      </c>
      <c r="P417" s="6">
        <v>1000.52</v>
      </c>
    </row>
    <row r="418" spans="1:16" x14ac:dyDescent="0.3">
      <c r="A418" s="5" t="s">
        <v>775</v>
      </c>
      <c r="B418" s="2" t="s">
        <v>387</v>
      </c>
      <c r="C418" s="2" t="str">
        <f t="shared" si="6"/>
        <v>June</v>
      </c>
      <c r="D418" s="2" t="s">
        <v>4</v>
      </c>
      <c r="E418" s="2" t="s">
        <v>62</v>
      </c>
      <c r="F418" s="2" t="s">
        <v>63</v>
      </c>
      <c r="G418" s="2" t="s">
        <v>9</v>
      </c>
      <c r="H418" s="2" t="s">
        <v>90</v>
      </c>
      <c r="I418" s="2" t="s">
        <v>90</v>
      </c>
      <c r="J418" s="2" t="s">
        <v>15</v>
      </c>
      <c r="K418" s="2" t="s">
        <v>22</v>
      </c>
      <c r="L418" s="2">
        <v>4</v>
      </c>
      <c r="M418" s="2">
        <v>21247</v>
      </c>
      <c r="N418" s="2">
        <v>0</v>
      </c>
      <c r="O418" s="2">
        <v>84988</v>
      </c>
      <c r="P418" s="6">
        <v>17179.8</v>
      </c>
    </row>
    <row r="419" spans="1:16" x14ac:dyDescent="0.3">
      <c r="A419" s="5" t="s">
        <v>776</v>
      </c>
      <c r="B419" s="2" t="s">
        <v>777</v>
      </c>
      <c r="C419" s="2" t="str">
        <f t="shared" si="6"/>
        <v>May</v>
      </c>
      <c r="D419" s="2" t="s">
        <v>5</v>
      </c>
      <c r="E419" s="2" t="s">
        <v>57</v>
      </c>
      <c r="F419" s="2" t="s">
        <v>58</v>
      </c>
      <c r="G419" s="2" t="s">
        <v>9</v>
      </c>
      <c r="H419" s="2" t="s">
        <v>90</v>
      </c>
      <c r="I419" s="2" t="s">
        <v>90</v>
      </c>
      <c r="J419" s="2" t="s">
        <v>16</v>
      </c>
      <c r="K419" s="2" t="s">
        <v>21</v>
      </c>
      <c r="L419" s="2">
        <v>7</v>
      </c>
      <c r="M419" s="2">
        <v>46530</v>
      </c>
      <c r="N419" s="2">
        <v>10</v>
      </c>
      <c r="O419" s="2">
        <v>293139</v>
      </c>
      <c r="P419" s="6">
        <v>43453.09</v>
      </c>
    </row>
    <row r="420" spans="1:16" x14ac:dyDescent="0.3">
      <c r="A420" s="5" t="s">
        <v>778</v>
      </c>
      <c r="B420" s="2" t="s">
        <v>430</v>
      </c>
      <c r="C420" s="2" t="str">
        <f t="shared" si="6"/>
        <v>February</v>
      </c>
      <c r="D420" s="2" t="s">
        <v>3</v>
      </c>
      <c r="E420" s="2" t="s">
        <v>75</v>
      </c>
      <c r="F420" s="2" t="s">
        <v>75</v>
      </c>
      <c r="G420" s="2" t="s">
        <v>10</v>
      </c>
      <c r="H420" s="2" t="s">
        <v>54</v>
      </c>
      <c r="I420" s="2" t="s">
        <v>54</v>
      </c>
      <c r="J420" s="2" t="s">
        <v>15</v>
      </c>
      <c r="K420" s="2" t="s">
        <v>22</v>
      </c>
      <c r="L420" s="2">
        <v>1</v>
      </c>
      <c r="M420" s="2">
        <v>17120</v>
      </c>
      <c r="N420" s="2">
        <v>5</v>
      </c>
      <c r="O420" s="2">
        <v>16264</v>
      </c>
      <c r="P420" s="6">
        <v>1669.48</v>
      </c>
    </row>
    <row r="421" spans="1:16" x14ac:dyDescent="0.3">
      <c r="A421" s="5" t="s">
        <v>779</v>
      </c>
      <c r="B421" s="2" t="s">
        <v>780</v>
      </c>
      <c r="C421" s="2" t="str">
        <f t="shared" si="6"/>
        <v>June</v>
      </c>
      <c r="D421" s="2" t="s">
        <v>2</v>
      </c>
      <c r="E421" s="2" t="s">
        <v>103</v>
      </c>
      <c r="F421" s="2" t="s">
        <v>104</v>
      </c>
      <c r="G421" s="2" t="s">
        <v>10</v>
      </c>
      <c r="H421" s="2" t="s">
        <v>54</v>
      </c>
      <c r="I421" s="2" t="s">
        <v>54</v>
      </c>
      <c r="J421" s="2" t="s">
        <v>13</v>
      </c>
      <c r="K421" s="2" t="s">
        <v>21</v>
      </c>
      <c r="L421" s="2">
        <v>3</v>
      </c>
      <c r="M421" s="2">
        <v>31559</v>
      </c>
      <c r="N421" s="2">
        <v>15</v>
      </c>
      <c r="O421" s="2">
        <v>80475.45</v>
      </c>
      <c r="P421" s="6">
        <v>6174.16</v>
      </c>
    </row>
    <row r="422" spans="1:16" x14ac:dyDescent="0.3">
      <c r="A422" s="5" t="s">
        <v>781</v>
      </c>
      <c r="B422" s="2" t="s">
        <v>782</v>
      </c>
      <c r="C422" s="2" t="str">
        <f t="shared" si="6"/>
        <v>September</v>
      </c>
      <c r="D422" s="2" t="s">
        <v>2</v>
      </c>
      <c r="E422" s="2" t="s">
        <v>103</v>
      </c>
      <c r="F422" s="2" t="s">
        <v>104</v>
      </c>
      <c r="G422" s="2" t="s">
        <v>10</v>
      </c>
      <c r="H422" s="2" t="s">
        <v>100</v>
      </c>
      <c r="I422" s="2" t="s">
        <v>100</v>
      </c>
      <c r="J422" s="2" t="s">
        <v>15</v>
      </c>
      <c r="K422" s="2" t="s">
        <v>22</v>
      </c>
      <c r="L422" s="2">
        <v>5</v>
      </c>
      <c r="M422" s="2">
        <v>19210</v>
      </c>
      <c r="N422" s="2">
        <v>20</v>
      </c>
      <c r="O422" s="2">
        <v>76840</v>
      </c>
      <c r="P422" s="6">
        <v>10302.32</v>
      </c>
    </row>
    <row r="423" spans="1:16" x14ac:dyDescent="0.3">
      <c r="A423" s="5" t="s">
        <v>783</v>
      </c>
      <c r="B423" s="2" t="s">
        <v>784</v>
      </c>
      <c r="C423" s="2" t="str">
        <f t="shared" si="6"/>
        <v>December</v>
      </c>
      <c r="D423" s="2" t="s">
        <v>4</v>
      </c>
      <c r="E423" s="2" t="s">
        <v>67</v>
      </c>
      <c r="F423" s="2" t="s">
        <v>68</v>
      </c>
      <c r="G423" s="2" t="s">
        <v>9</v>
      </c>
      <c r="H423" s="2" t="s">
        <v>59</v>
      </c>
      <c r="I423" s="2" t="s">
        <v>59</v>
      </c>
      <c r="J423" s="2" t="s">
        <v>14</v>
      </c>
      <c r="K423" s="2" t="s">
        <v>22</v>
      </c>
      <c r="L423" s="2">
        <v>2</v>
      </c>
      <c r="M423" s="2">
        <v>25723</v>
      </c>
      <c r="N423" s="2">
        <v>15</v>
      </c>
      <c r="O423" s="2">
        <v>43729.1</v>
      </c>
      <c r="P423" s="6">
        <v>10439.92</v>
      </c>
    </row>
    <row r="424" spans="1:16" x14ac:dyDescent="0.3">
      <c r="A424" s="5" t="s">
        <v>785</v>
      </c>
      <c r="B424" s="2" t="s">
        <v>165</v>
      </c>
      <c r="C424" s="2" t="str">
        <f t="shared" si="6"/>
        <v>February</v>
      </c>
      <c r="D424" s="2" t="s">
        <v>5</v>
      </c>
      <c r="E424" s="2" t="s">
        <v>52</v>
      </c>
      <c r="F424" s="2" t="s">
        <v>53</v>
      </c>
      <c r="G424" s="2" t="s">
        <v>10</v>
      </c>
      <c r="H424" s="2" t="s">
        <v>54</v>
      </c>
      <c r="I424" s="2" t="s">
        <v>54</v>
      </c>
      <c r="J424" s="2" t="s">
        <v>12</v>
      </c>
      <c r="K424" s="2" t="s">
        <v>22</v>
      </c>
      <c r="L424" s="2">
        <v>3</v>
      </c>
      <c r="M424" s="2">
        <v>30772</v>
      </c>
      <c r="N424" s="2">
        <v>15</v>
      </c>
      <c r="O424" s="2">
        <v>78468.600000000006</v>
      </c>
      <c r="P424" s="6">
        <v>9433.2999999999993</v>
      </c>
    </row>
    <row r="425" spans="1:16" x14ac:dyDescent="0.3">
      <c r="A425" s="5" t="s">
        <v>786</v>
      </c>
      <c r="B425" s="2" t="s">
        <v>110</v>
      </c>
      <c r="C425" s="2" t="str">
        <f t="shared" si="6"/>
        <v>August</v>
      </c>
      <c r="D425" s="2" t="s">
        <v>4</v>
      </c>
      <c r="E425" s="2" t="s">
        <v>67</v>
      </c>
      <c r="F425" s="2" t="s">
        <v>68</v>
      </c>
      <c r="G425" s="2" t="s">
        <v>10</v>
      </c>
      <c r="H425" s="2" t="s">
        <v>83</v>
      </c>
      <c r="I425" s="2" t="s">
        <v>83</v>
      </c>
      <c r="J425" s="2" t="s">
        <v>17</v>
      </c>
      <c r="K425" s="2" t="s">
        <v>21</v>
      </c>
      <c r="L425" s="2">
        <v>8</v>
      </c>
      <c r="M425" s="2">
        <v>38394</v>
      </c>
      <c r="N425" s="2">
        <v>20</v>
      </c>
      <c r="O425" s="2">
        <v>245721.60000000001</v>
      </c>
      <c r="P425" s="6">
        <v>46824.639999999999</v>
      </c>
    </row>
    <row r="426" spans="1:16" x14ac:dyDescent="0.3">
      <c r="A426" s="5" t="s">
        <v>787</v>
      </c>
      <c r="B426" s="2" t="s">
        <v>106</v>
      </c>
      <c r="C426" s="2" t="str">
        <f t="shared" si="6"/>
        <v>September</v>
      </c>
      <c r="D426" s="2" t="s">
        <v>2</v>
      </c>
      <c r="E426" s="2" t="s">
        <v>103</v>
      </c>
      <c r="F426" s="2" t="s">
        <v>104</v>
      </c>
      <c r="G426" s="2" t="s">
        <v>10</v>
      </c>
      <c r="H426" s="2" t="s">
        <v>69</v>
      </c>
      <c r="I426" s="2" t="s">
        <v>69</v>
      </c>
      <c r="J426" s="2" t="s">
        <v>14</v>
      </c>
      <c r="K426" s="2" t="s">
        <v>22</v>
      </c>
      <c r="L426" s="2">
        <v>5</v>
      </c>
      <c r="M426" s="2">
        <v>25784</v>
      </c>
      <c r="N426" s="2">
        <v>20</v>
      </c>
      <c r="O426" s="2">
        <v>103136</v>
      </c>
      <c r="P426" s="6">
        <v>6850.51</v>
      </c>
    </row>
    <row r="427" spans="1:16" x14ac:dyDescent="0.3">
      <c r="A427" s="5" t="s">
        <v>788</v>
      </c>
      <c r="B427" s="2" t="s">
        <v>789</v>
      </c>
      <c r="C427" s="2" t="str">
        <f t="shared" si="6"/>
        <v>May</v>
      </c>
      <c r="D427" s="2" t="s">
        <v>2</v>
      </c>
      <c r="E427" s="2" t="s">
        <v>81</v>
      </c>
      <c r="F427" s="2" t="s">
        <v>82</v>
      </c>
      <c r="G427" s="2" t="s">
        <v>9</v>
      </c>
      <c r="H427" s="2" t="s">
        <v>126</v>
      </c>
      <c r="I427" s="2" t="s">
        <v>126</v>
      </c>
      <c r="J427" s="2" t="s">
        <v>19</v>
      </c>
      <c r="K427" s="2" t="s">
        <v>22</v>
      </c>
      <c r="L427" s="2">
        <v>9</v>
      </c>
      <c r="M427" s="2">
        <v>47588</v>
      </c>
      <c r="N427" s="2">
        <v>5</v>
      </c>
      <c r="O427" s="2">
        <v>406877.4</v>
      </c>
      <c r="P427" s="6">
        <v>56725.27</v>
      </c>
    </row>
    <row r="428" spans="1:16" x14ac:dyDescent="0.3">
      <c r="A428" s="5" t="s">
        <v>790</v>
      </c>
      <c r="B428" s="2" t="s">
        <v>375</v>
      </c>
      <c r="C428" s="2" t="str">
        <f t="shared" si="6"/>
        <v>February</v>
      </c>
      <c r="D428" s="2" t="s">
        <v>4</v>
      </c>
      <c r="E428" s="2" t="s">
        <v>67</v>
      </c>
      <c r="F428" s="2" t="s">
        <v>68</v>
      </c>
      <c r="G428" s="2" t="s">
        <v>10</v>
      </c>
      <c r="H428" s="2" t="s">
        <v>83</v>
      </c>
      <c r="I428" s="2" t="s">
        <v>83</v>
      </c>
      <c r="J428" s="2" t="s">
        <v>14</v>
      </c>
      <c r="K428" s="2" t="s">
        <v>22</v>
      </c>
      <c r="L428" s="2">
        <v>7</v>
      </c>
      <c r="M428" s="2">
        <v>8287</v>
      </c>
      <c r="N428" s="2">
        <v>5</v>
      </c>
      <c r="O428" s="2">
        <v>55108.55</v>
      </c>
      <c r="P428" s="6">
        <v>7504.91</v>
      </c>
    </row>
    <row r="429" spans="1:16" x14ac:dyDescent="0.3">
      <c r="A429" s="5" t="s">
        <v>791</v>
      </c>
      <c r="B429" s="2" t="s">
        <v>792</v>
      </c>
      <c r="C429" s="2" t="str">
        <f t="shared" si="6"/>
        <v>June</v>
      </c>
      <c r="D429" s="2" t="s">
        <v>5</v>
      </c>
      <c r="E429" s="2" t="s">
        <v>52</v>
      </c>
      <c r="F429" s="2" t="s">
        <v>53</v>
      </c>
      <c r="G429" s="2" t="s">
        <v>9</v>
      </c>
      <c r="H429" s="2" t="s">
        <v>72</v>
      </c>
      <c r="I429" s="2" t="s">
        <v>72</v>
      </c>
      <c r="J429" s="2" t="s">
        <v>14</v>
      </c>
      <c r="K429" s="2" t="s">
        <v>21</v>
      </c>
      <c r="L429" s="2">
        <v>3</v>
      </c>
      <c r="M429" s="2">
        <v>21122</v>
      </c>
      <c r="N429" s="2">
        <v>20</v>
      </c>
      <c r="O429" s="2">
        <v>50692.800000000003</v>
      </c>
      <c r="P429" s="6">
        <v>3162.98</v>
      </c>
    </row>
    <row r="430" spans="1:16" x14ac:dyDescent="0.3">
      <c r="A430" s="5" t="s">
        <v>793</v>
      </c>
      <c r="B430" s="2" t="s">
        <v>794</v>
      </c>
      <c r="C430" s="2" t="str">
        <f t="shared" si="6"/>
        <v>November</v>
      </c>
      <c r="D430" s="2" t="s">
        <v>4</v>
      </c>
      <c r="E430" s="2" t="s">
        <v>67</v>
      </c>
      <c r="F430" s="2" t="s">
        <v>68</v>
      </c>
      <c r="G430" s="2" t="s">
        <v>10</v>
      </c>
      <c r="H430" s="2" t="s">
        <v>100</v>
      </c>
      <c r="I430" s="2" t="s">
        <v>100</v>
      </c>
      <c r="J430" s="2" t="s">
        <v>17</v>
      </c>
      <c r="K430" s="2" t="s">
        <v>21</v>
      </c>
      <c r="L430" s="2">
        <v>7</v>
      </c>
      <c r="M430" s="2">
        <v>26586</v>
      </c>
      <c r="N430" s="2">
        <v>5</v>
      </c>
      <c r="O430" s="2">
        <v>176796.9</v>
      </c>
      <c r="P430" s="6">
        <v>40748.54</v>
      </c>
    </row>
    <row r="431" spans="1:16" x14ac:dyDescent="0.3">
      <c r="A431" s="5" t="s">
        <v>795</v>
      </c>
      <c r="B431" s="2" t="s">
        <v>514</v>
      </c>
      <c r="C431" s="2" t="str">
        <f t="shared" si="6"/>
        <v>September</v>
      </c>
      <c r="D431" s="2" t="s">
        <v>2</v>
      </c>
      <c r="E431" s="2" t="s">
        <v>103</v>
      </c>
      <c r="F431" s="2" t="s">
        <v>104</v>
      </c>
      <c r="G431" s="2" t="s">
        <v>9</v>
      </c>
      <c r="H431" s="2" t="s">
        <v>126</v>
      </c>
      <c r="I431" s="2" t="s">
        <v>126</v>
      </c>
      <c r="J431" s="2" t="s">
        <v>13</v>
      </c>
      <c r="K431" s="2" t="s">
        <v>21</v>
      </c>
      <c r="L431" s="2">
        <v>3</v>
      </c>
      <c r="M431" s="2">
        <v>14372</v>
      </c>
      <c r="N431" s="2">
        <v>20</v>
      </c>
      <c r="O431" s="2">
        <v>34492.800000000003</v>
      </c>
      <c r="P431" s="6">
        <v>8158.78</v>
      </c>
    </row>
    <row r="432" spans="1:16" x14ac:dyDescent="0.3">
      <c r="A432" s="5" t="s">
        <v>796</v>
      </c>
      <c r="B432" s="2" t="s">
        <v>797</v>
      </c>
      <c r="C432" s="2" t="str">
        <f t="shared" si="6"/>
        <v>September</v>
      </c>
      <c r="D432" s="2" t="s">
        <v>2</v>
      </c>
      <c r="E432" s="2" t="s">
        <v>103</v>
      </c>
      <c r="F432" s="2" t="s">
        <v>104</v>
      </c>
      <c r="G432" s="2" t="s">
        <v>9</v>
      </c>
      <c r="H432" s="2" t="s">
        <v>90</v>
      </c>
      <c r="I432" s="2" t="s">
        <v>90</v>
      </c>
      <c r="J432" s="2" t="s">
        <v>17</v>
      </c>
      <c r="K432" s="2" t="s">
        <v>21</v>
      </c>
      <c r="L432" s="2">
        <v>5</v>
      </c>
      <c r="M432" s="2">
        <v>1255</v>
      </c>
      <c r="N432" s="2">
        <v>0</v>
      </c>
      <c r="O432" s="2">
        <v>6275</v>
      </c>
      <c r="P432" s="6">
        <v>912.36</v>
      </c>
    </row>
    <row r="433" spans="1:16" x14ac:dyDescent="0.3">
      <c r="A433" s="5" t="s">
        <v>798</v>
      </c>
      <c r="B433" s="2" t="s">
        <v>119</v>
      </c>
      <c r="C433" s="2" t="str">
        <f t="shared" si="6"/>
        <v>January</v>
      </c>
      <c r="D433" s="2" t="s">
        <v>5</v>
      </c>
      <c r="E433" s="2" t="s">
        <v>52</v>
      </c>
      <c r="F433" s="2" t="s">
        <v>53</v>
      </c>
      <c r="G433" s="2" t="s">
        <v>9</v>
      </c>
      <c r="H433" s="2" t="s">
        <v>59</v>
      </c>
      <c r="I433" s="2" t="s">
        <v>59</v>
      </c>
      <c r="J433" s="2" t="s">
        <v>12</v>
      </c>
      <c r="K433" s="2" t="s">
        <v>21</v>
      </c>
      <c r="L433" s="2">
        <v>9</v>
      </c>
      <c r="M433" s="2">
        <v>26880</v>
      </c>
      <c r="N433" s="2">
        <v>5</v>
      </c>
      <c r="O433" s="2">
        <v>229824</v>
      </c>
      <c r="P433" s="6">
        <v>42463.62</v>
      </c>
    </row>
    <row r="434" spans="1:16" x14ac:dyDescent="0.3">
      <c r="A434" s="5" t="s">
        <v>799</v>
      </c>
      <c r="B434" s="2" t="s">
        <v>762</v>
      </c>
      <c r="C434" s="2" t="str">
        <f t="shared" si="6"/>
        <v>June</v>
      </c>
      <c r="D434" s="2" t="s">
        <v>5</v>
      </c>
      <c r="E434" s="2" t="s">
        <v>52</v>
      </c>
      <c r="F434" s="2" t="s">
        <v>53</v>
      </c>
      <c r="G434" s="2" t="s">
        <v>9</v>
      </c>
      <c r="H434" s="2" t="s">
        <v>59</v>
      </c>
      <c r="I434" s="2" t="s">
        <v>59</v>
      </c>
      <c r="J434" s="2" t="s">
        <v>16</v>
      </c>
      <c r="K434" s="2" t="s">
        <v>21</v>
      </c>
      <c r="L434" s="2">
        <v>3</v>
      </c>
      <c r="M434" s="2">
        <v>41239</v>
      </c>
      <c r="N434" s="2">
        <v>15</v>
      </c>
      <c r="O434" s="2">
        <v>105159.45</v>
      </c>
      <c r="P434" s="6">
        <v>28835.96</v>
      </c>
    </row>
    <row r="435" spans="1:16" x14ac:dyDescent="0.3">
      <c r="A435" s="5" t="s">
        <v>800</v>
      </c>
      <c r="B435" s="2" t="s">
        <v>279</v>
      </c>
      <c r="C435" s="2" t="str">
        <f t="shared" si="6"/>
        <v>February</v>
      </c>
      <c r="D435" s="2" t="s">
        <v>4</v>
      </c>
      <c r="E435" s="2" t="s">
        <v>67</v>
      </c>
      <c r="F435" s="2" t="s">
        <v>68</v>
      </c>
      <c r="G435" s="2" t="s">
        <v>9</v>
      </c>
      <c r="H435" s="2" t="s">
        <v>72</v>
      </c>
      <c r="I435" s="2" t="s">
        <v>72</v>
      </c>
      <c r="J435" s="2" t="s">
        <v>14</v>
      </c>
      <c r="K435" s="2" t="s">
        <v>21</v>
      </c>
      <c r="L435" s="2">
        <v>5</v>
      </c>
      <c r="M435" s="2">
        <v>16387</v>
      </c>
      <c r="N435" s="2">
        <v>0</v>
      </c>
      <c r="O435" s="2">
        <v>81935</v>
      </c>
      <c r="P435" s="6">
        <v>18114.27</v>
      </c>
    </row>
    <row r="436" spans="1:16" x14ac:dyDescent="0.3">
      <c r="A436" s="5" t="s">
        <v>801</v>
      </c>
      <c r="B436" s="2" t="s">
        <v>452</v>
      </c>
      <c r="C436" s="2" t="str">
        <f t="shared" si="6"/>
        <v>February</v>
      </c>
      <c r="D436" s="2" t="s">
        <v>4</v>
      </c>
      <c r="E436" s="2" t="s">
        <v>67</v>
      </c>
      <c r="F436" s="2" t="s">
        <v>68</v>
      </c>
      <c r="G436" s="2" t="s">
        <v>9</v>
      </c>
      <c r="H436" s="2" t="s">
        <v>90</v>
      </c>
      <c r="I436" s="2" t="s">
        <v>90</v>
      </c>
      <c r="J436" s="2" t="s">
        <v>16</v>
      </c>
      <c r="K436" s="2" t="s">
        <v>22</v>
      </c>
      <c r="L436" s="2">
        <v>4</v>
      </c>
      <c r="M436" s="2">
        <v>13956</v>
      </c>
      <c r="N436" s="2">
        <v>10</v>
      </c>
      <c r="O436" s="2">
        <v>50241.599999999999</v>
      </c>
      <c r="P436" s="6">
        <v>8639.6299999999992</v>
      </c>
    </row>
    <row r="437" spans="1:16" x14ac:dyDescent="0.3">
      <c r="A437" s="5" t="s">
        <v>802</v>
      </c>
      <c r="B437" s="2" t="s">
        <v>803</v>
      </c>
      <c r="C437" s="2" t="str">
        <f t="shared" si="6"/>
        <v>June</v>
      </c>
      <c r="D437" s="2" t="s">
        <v>3</v>
      </c>
      <c r="E437" s="2" t="s">
        <v>117</v>
      </c>
      <c r="F437" s="2" t="s">
        <v>117</v>
      </c>
      <c r="G437" s="2" t="s">
        <v>9</v>
      </c>
      <c r="H437" s="2" t="s">
        <v>72</v>
      </c>
      <c r="I437" s="2" t="s">
        <v>72</v>
      </c>
      <c r="J437" s="2" t="s">
        <v>13</v>
      </c>
      <c r="K437" s="2" t="s">
        <v>22</v>
      </c>
      <c r="L437" s="2">
        <v>5</v>
      </c>
      <c r="M437" s="2">
        <v>14053</v>
      </c>
      <c r="N437" s="2">
        <v>10</v>
      </c>
      <c r="O437" s="2">
        <v>63238.5</v>
      </c>
      <c r="P437" s="6">
        <v>8555.5300000000007</v>
      </c>
    </row>
    <row r="438" spans="1:16" x14ac:dyDescent="0.3">
      <c r="A438" s="5" t="s">
        <v>804</v>
      </c>
      <c r="B438" s="2" t="s">
        <v>719</v>
      </c>
      <c r="C438" s="2" t="str">
        <f t="shared" si="6"/>
        <v>June</v>
      </c>
      <c r="D438" s="2" t="s">
        <v>5</v>
      </c>
      <c r="E438" s="2" t="s">
        <v>57</v>
      </c>
      <c r="F438" s="2" t="s">
        <v>58</v>
      </c>
      <c r="G438" s="2" t="s">
        <v>8</v>
      </c>
      <c r="H438" s="2" t="s">
        <v>64</v>
      </c>
      <c r="I438" s="2" t="s">
        <v>64</v>
      </c>
      <c r="J438" s="2" t="s">
        <v>13</v>
      </c>
      <c r="K438" s="2" t="s">
        <v>21</v>
      </c>
      <c r="L438" s="2">
        <v>8</v>
      </c>
      <c r="M438" s="2">
        <v>32834</v>
      </c>
      <c r="N438" s="2">
        <v>10</v>
      </c>
      <c r="O438" s="2">
        <v>236404.8</v>
      </c>
      <c r="P438" s="6">
        <v>58843.8</v>
      </c>
    </row>
    <row r="439" spans="1:16" x14ac:dyDescent="0.3">
      <c r="A439" s="5" t="s">
        <v>805</v>
      </c>
      <c r="B439" s="2" t="s">
        <v>794</v>
      </c>
      <c r="C439" s="2" t="str">
        <f t="shared" si="6"/>
        <v>November</v>
      </c>
      <c r="D439" s="2" t="s">
        <v>5</v>
      </c>
      <c r="E439" s="2" t="s">
        <v>57</v>
      </c>
      <c r="F439" s="2" t="s">
        <v>58</v>
      </c>
      <c r="G439" s="2" t="s">
        <v>10</v>
      </c>
      <c r="H439" s="2" t="s">
        <v>83</v>
      </c>
      <c r="I439" s="2" t="s">
        <v>83</v>
      </c>
      <c r="J439" s="2" t="s">
        <v>13</v>
      </c>
      <c r="K439" s="2" t="s">
        <v>21</v>
      </c>
      <c r="L439" s="2">
        <v>1</v>
      </c>
      <c r="M439" s="2">
        <v>34724</v>
      </c>
      <c r="N439" s="2">
        <v>20</v>
      </c>
      <c r="O439" s="2">
        <v>27779.200000000001</v>
      </c>
      <c r="P439" s="6">
        <v>5525.49</v>
      </c>
    </row>
    <row r="440" spans="1:16" x14ac:dyDescent="0.3">
      <c r="A440" s="5" t="s">
        <v>806</v>
      </c>
      <c r="B440" s="2" t="s">
        <v>485</v>
      </c>
      <c r="C440" s="2" t="str">
        <f t="shared" si="6"/>
        <v>March</v>
      </c>
      <c r="D440" s="2" t="s">
        <v>3</v>
      </c>
      <c r="E440" s="2" t="s">
        <v>75</v>
      </c>
      <c r="F440" s="2" t="s">
        <v>75</v>
      </c>
      <c r="G440" s="2" t="s">
        <v>8</v>
      </c>
      <c r="H440" s="2" t="s">
        <v>133</v>
      </c>
      <c r="I440" s="2" t="s">
        <v>133</v>
      </c>
      <c r="J440" s="2" t="s">
        <v>14</v>
      </c>
      <c r="K440" s="2" t="s">
        <v>22</v>
      </c>
      <c r="L440" s="2">
        <v>9</v>
      </c>
      <c r="M440" s="2">
        <v>37313</v>
      </c>
      <c r="N440" s="2">
        <v>15</v>
      </c>
      <c r="O440" s="2">
        <v>285444.45</v>
      </c>
      <c r="P440" s="6">
        <v>39865.31</v>
      </c>
    </row>
    <row r="441" spans="1:16" x14ac:dyDescent="0.3">
      <c r="A441" s="5" t="s">
        <v>807</v>
      </c>
      <c r="B441" s="2" t="s">
        <v>481</v>
      </c>
      <c r="C441" s="2" t="str">
        <f t="shared" si="6"/>
        <v>December</v>
      </c>
      <c r="D441" s="2" t="s">
        <v>3</v>
      </c>
      <c r="E441" s="2" t="s">
        <v>75</v>
      </c>
      <c r="F441" s="2" t="s">
        <v>75</v>
      </c>
      <c r="G441" s="2" t="s">
        <v>9</v>
      </c>
      <c r="H441" s="2" t="s">
        <v>59</v>
      </c>
      <c r="I441" s="2" t="s">
        <v>59</v>
      </c>
      <c r="J441" s="2" t="s">
        <v>15</v>
      </c>
      <c r="K441" s="2" t="s">
        <v>21</v>
      </c>
      <c r="L441" s="2">
        <v>2</v>
      </c>
      <c r="M441" s="2">
        <v>49035</v>
      </c>
      <c r="N441" s="2">
        <v>5</v>
      </c>
      <c r="O441" s="2">
        <v>93166.5</v>
      </c>
      <c r="P441" s="6">
        <v>8096.39</v>
      </c>
    </row>
    <row r="442" spans="1:16" x14ac:dyDescent="0.3">
      <c r="A442" s="5" t="s">
        <v>808</v>
      </c>
      <c r="B442" s="2" t="s">
        <v>692</v>
      </c>
      <c r="C442" s="2" t="str">
        <f t="shared" si="6"/>
        <v>January</v>
      </c>
      <c r="D442" s="2" t="s">
        <v>2</v>
      </c>
      <c r="E442" s="2" t="s">
        <v>103</v>
      </c>
      <c r="F442" s="2" t="s">
        <v>104</v>
      </c>
      <c r="G442" s="2" t="s">
        <v>10</v>
      </c>
      <c r="H442" s="2" t="s">
        <v>100</v>
      </c>
      <c r="I442" s="2" t="s">
        <v>100</v>
      </c>
      <c r="J442" s="2" t="s">
        <v>15</v>
      </c>
      <c r="K442" s="2" t="s">
        <v>22</v>
      </c>
      <c r="L442" s="2">
        <v>3</v>
      </c>
      <c r="M442" s="2">
        <v>10128</v>
      </c>
      <c r="N442" s="2">
        <v>20</v>
      </c>
      <c r="O442" s="2">
        <v>24307.200000000001</v>
      </c>
      <c r="P442" s="6">
        <v>6492.88</v>
      </c>
    </row>
    <row r="443" spans="1:16" x14ac:dyDescent="0.3">
      <c r="A443" s="5" t="s">
        <v>809</v>
      </c>
      <c r="B443" s="2" t="s">
        <v>518</v>
      </c>
      <c r="C443" s="2" t="str">
        <f t="shared" si="6"/>
        <v>February</v>
      </c>
      <c r="D443" s="2" t="s">
        <v>3</v>
      </c>
      <c r="E443" s="2" t="s">
        <v>75</v>
      </c>
      <c r="F443" s="2" t="s">
        <v>75</v>
      </c>
      <c r="G443" s="2" t="s">
        <v>9</v>
      </c>
      <c r="H443" s="2" t="s">
        <v>72</v>
      </c>
      <c r="I443" s="2" t="s">
        <v>72</v>
      </c>
      <c r="J443" s="2" t="s">
        <v>13</v>
      </c>
      <c r="K443" s="2" t="s">
        <v>21</v>
      </c>
      <c r="L443" s="2">
        <v>2</v>
      </c>
      <c r="M443" s="2">
        <v>14472</v>
      </c>
      <c r="N443" s="2">
        <v>0</v>
      </c>
      <c r="O443" s="2">
        <v>28944</v>
      </c>
      <c r="P443" s="6">
        <v>4273.53</v>
      </c>
    </row>
    <row r="444" spans="1:16" x14ac:dyDescent="0.3">
      <c r="A444" s="5" t="s">
        <v>810</v>
      </c>
      <c r="B444" s="2" t="s">
        <v>255</v>
      </c>
      <c r="C444" s="2" t="str">
        <f t="shared" si="6"/>
        <v>May</v>
      </c>
      <c r="D444" s="2" t="s">
        <v>4</v>
      </c>
      <c r="E444" s="2" t="s">
        <v>67</v>
      </c>
      <c r="F444" s="2" t="s">
        <v>68</v>
      </c>
      <c r="G444" s="2" t="s">
        <v>8</v>
      </c>
      <c r="H444" s="2" t="s">
        <v>93</v>
      </c>
      <c r="I444" s="2" t="s">
        <v>93</v>
      </c>
      <c r="J444" s="2" t="s">
        <v>17</v>
      </c>
      <c r="K444" s="2" t="s">
        <v>21</v>
      </c>
      <c r="L444" s="2">
        <v>1</v>
      </c>
      <c r="M444" s="2">
        <v>20731</v>
      </c>
      <c r="N444" s="2">
        <v>15</v>
      </c>
      <c r="O444" s="2">
        <v>17621.349999999999</v>
      </c>
      <c r="P444" s="6">
        <v>3366.06</v>
      </c>
    </row>
    <row r="445" spans="1:16" x14ac:dyDescent="0.3">
      <c r="A445" s="5" t="s">
        <v>811</v>
      </c>
      <c r="B445" s="2" t="s">
        <v>812</v>
      </c>
      <c r="C445" s="2" t="str">
        <f t="shared" si="6"/>
        <v>February</v>
      </c>
      <c r="D445" s="2" t="s">
        <v>3</v>
      </c>
      <c r="E445" s="2" t="s">
        <v>117</v>
      </c>
      <c r="F445" s="2" t="s">
        <v>117</v>
      </c>
      <c r="G445" s="2" t="s">
        <v>10</v>
      </c>
      <c r="H445" s="2" t="s">
        <v>69</v>
      </c>
      <c r="I445" s="2" t="s">
        <v>69</v>
      </c>
      <c r="J445" s="2" t="s">
        <v>14</v>
      </c>
      <c r="K445" s="2" t="s">
        <v>21</v>
      </c>
      <c r="L445" s="2">
        <v>2</v>
      </c>
      <c r="M445" s="2">
        <v>20744</v>
      </c>
      <c r="N445" s="2">
        <v>20</v>
      </c>
      <c r="O445" s="2">
        <v>33190.400000000001</v>
      </c>
      <c r="P445" s="6">
        <v>2195.2399999999998</v>
      </c>
    </row>
    <row r="446" spans="1:16" x14ac:dyDescent="0.3">
      <c r="A446" s="5" t="s">
        <v>813</v>
      </c>
      <c r="B446" s="2" t="s">
        <v>347</v>
      </c>
      <c r="C446" s="2" t="str">
        <f t="shared" si="6"/>
        <v>September</v>
      </c>
      <c r="D446" s="2" t="s">
        <v>3</v>
      </c>
      <c r="E446" s="2" t="s">
        <v>75</v>
      </c>
      <c r="F446" s="2" t="s">
        <v>75</v>
      </c>
      <c r="G446" s="2" t="s">
        <v>8</v>
      </c>
      <c r="H446" s="2" t="s">
        <v>64</v>
      </c>
      <c r="I446" s="2" t="s">
        <v>64</v>
      </c>
      <c r="J446" s="2" t="s">
        <v>17</v>
      </c>
      <c r="K446" s="2" t="s">
        <v>21</v>
      </c>
      <c r="L446" s="2">
        <v>5</v>
      </c>
      <c r="M446" s="2">
        <v>32637</v>
      </c>
      <c r="N446" s="2">
        <v>10</v>
      </c>
      <c r="O446" s="2">
        <v>146866.5</v>
      </c>
      <c r="P446" s="6">
        <v>39832.25</v>
      </c>
    </row>
    <row r="447" spans="1:16" x14ac:dyDescent="0.3">
      <c r="A447" s="5" t="s">
        <v>814</v>
      </c>
      <c r="B447" s="2" t="s">
        <v>815</v>
      </c>
      <c r="C447" s="2" t="str">
        <f t="shared" si="6"/>
        <v>March</v>
      </c>
      <c r="D447" s="2" t="s">
        <v>4</v>
      </c>
      <c r="E447" s="2" t="s">
        <v>62</v>
      </c>
      <c r="F447" s="2" t="s">
        <v>63</v>
      </c>
      <c r="G447" s="2" t="s">
        <v>10</v>
      </c>
      <c r="H447" s="2" t="s">
        <v>83</v>
      </c>
      <c r="I447" s="2" t="s">
        <v>83</v>
      </c>
      <c r="J447" s="2" t="s">
        <v>17</v>
      </c>
      <c r="K447" s="2" t="s">
        <v>22</v>
      </c>
      <c r="L447" s="2">
        <v>10</v>
      </c>
      <c r="M447" s="2">
        <v>29183</v>
      </c>
      <c r="N447" s="2">
        <v>5</v>
      </c>
      <c r="O447" s="2">
        <v>277238.5</v>
      </c>
      <c r="P447" s="6">
        <v>22736</v>
      </c>
    </row>
    <row r="448" spans="1:16" x14ac:dyDescent="0.3">
      <c r="A448" s="5" t="s">
        <v>816</v>
      </c>
      <c r="B448" s="2" t="s">
        <v>320</v>
      </c>
      <c r="C448" s="2" t="str">
        <f t="shared" si="6"/>
        <v>October</v>
      </c>
      <c r="D448" s="2" t="s">
        <v>5</v>
      </c>
      <c r="E448" s="2" t="s">
        <v>52</v>
      </c>
      <c r="F448" s="2" t="s">
        <v>53</v>
      </c>
      <c r="G448" s="2" t="s">
        <v>9</v>
      </c>
      <c r="H448" s="2" t="s">
        <v>59</v>
      </c>
      <c r="I448" s="2" t="s">
        <v>59</v>
      </c>
      <c r="J448" s="2" t="s">
        <v>13</v>
      </c>
      <c r="K448" s="2" t="s">
        <v>21</v>
      </c>
      <c r="L448" s="2">
        <v>8</v>
      </c>
      <c r="M448" s="2">
        <v>25743</v>
      </c>
      <c r="N448" s="2">
        <v>0</v>
      </c>
      <c r="O448" s="2">
        <v>205944</v>
      </c>
      <c r="P448" s="6">
        <v>30352.43</v>
      </c>
    </row>
    <row r="449" spans="1:16" x14ac:dyDescent="0.3">
      <c r="A449" s="5" t="s">
        <v>817</v>
      </c>
      <c r="B449" s="2" t="s">
        <v>578</v>
      </c>
      <c r="C449" s="2" t="str">
        <f t="shared" si="6"/>
        <v>February</v>
      </c>
      <c r="D449" s="2" t="s">
        <v>2</v>
      </c>
      <c r="E449" s="2" t="s">
        <v>81</v>
      </c>
      <c r="F449" s="2" t="s">
        <v>82</v>
      </c>
      <c r="G449" s="2" t="s">
        <v>8</v>
      </c>
      <c r="H449" s="2" t="s">
        <v>76</v>
      </c>
      <c r="I449" s="2" t="s">
        <v>76</v>
      </c>
      <c r="J449" s="2" t="s">
        <v>19</v>
      </c>
      <c r="K449" s="2" t="s">
        <v>22</v>
      </c>
      <c r="L449" s="2">
        <v>8</v>
      </c>
      <c r="M449" s="2">
        <v>20290</v>
      </c>
      <c r="N449" s="2">
        <v>0</v>
      </c>
      <c r="O449" s="2">
        <v>162320</v>
      </c>
      <c r="P449" s="6">
        <v>38067.17</v>
      </c>
    </row>
    <row r="450" spans="1:16" x14ac:dyDescent="0.3">
      <c r="A450" s="5" t="s">
        <v>818</v>
      </c>
      <c r="B450" s="2" t="s">
        <v>213</v>
      </c>
      <c r="C450" s="2" t="str">
        <f t="shared" si="6"/>
        <v>May</v>
      </c>
      <c r="D450" s="2" t="s">
        <v>2</v>
      </c>
      <c r="E450" s="2" t="s">
        <v>81</v>
      </c>
      <c r="F450" s="2" t="s">
        <v>82</v>
      </c>
      <c r="G450" s="2" t="s">
        <v>10</v>
      </c>
      <c r="H450" s="2" t="s">
        <v>100</v>
      </c>
      <c r="I450" s="2" t="s">
        <v>100</v>
      </c>
      <c r="J450" s="2" t="s">
        <v>19</v>
      </c>
      <c r="K450" s="2" t="s">
        <v>22</v>
      </c>
      <c r="L450" s="2">
        <v>4</v>
      </c>
      <c r="M450" s="2">
        <v>27519</v>
      </c>
      <c r="N450" s="2">
        <v>20</v>
      </c>
      <c r="O450" s="2">
        <v>88060.800000000003</v>
      </c>
      <c r="P450" s="6">
        <v>6402.71</v>
      </c>
    </row>
    <row r="451" spans="1:16" x14ac:dyDescent="0.3">
      <c r="A451" s="5" t="s">
        <v>819</v>
      </c>
      <c r="B451" s="2" t="s">
        <v>128</v>
      </c>
      <c r="C451" s="2" t="str">
        <f t="shared" ref="C451:C514" si="7">TEXT(B451,"mmmm")</f>
        <v>December</v>
      </c>
      <c r="D451" s="2" t="s">
        <v>4</v>
      </c>
      <c r="E451" s="2" t="s">
        <v>62</v>
      </c>
      <c r="F451" s="2" t="s">
        <v>63</v>
      </c>
      <c r="G451" s="2" t="s">
        <v>8</v>
      </c>
      <c r="H451" s="2" t="s">
        <v>93</v>
      </c>
      <c r="I451" s="2" t="s">
        <v>93</v>
      </c>
      <c r="J451" s="2" t="s">
        <v>15</v>
      </c>
      <c r="K451" s="2" t="s">
        <v>22</v>
      </c>
      <c r="L451" s="2">
        <v>4</v>
      </c>
      <c r="M451" s="2">
        <v>40989</v>
      </c>
      <c r="N451" s="2">
        <v>5</v>
      </c>
      <c r="O451" s="2">
        <v>155758.20000000001</v>
      </c>
      <c r="P451" s="6">
        <v>29125.15</v>
      </c>
    </row>
    <row r="452" spans="1:16" x14ac:dyDescent="0.3">
      <c r="A452" s="5" t="s">
        <v>820</v>
      </c>
      <c r="B452" s="2" t="s">
        <v>821</v>
      </c>
      <c r="C452" s="2" t="str">
        <f t="shared" si="7"/>
        <v>December</v>
      </c>
      <c r="D452" s="2" t="s">
        <v>5</v>
      </c>
      <c r="E452" s="2" t="s">
        <v>52</v>
      </c>
      <c r="F452" s="2" t="s">
        <v>53</v>
      </c>
      <c r="G452" s="2" t="s">
        <v>9</v>
      </c>
      <c r="H452" s="2" t="s">
        <v>59</v>
      </c>
      <c r="I452" s="2" t="s">
        <v>59</v>
      </c>
      <c r="J452" s="2" t="s">
        <v>12</v>
      </c>
      <c r="K452" s="2" t="s">
        <v>22</v>
      </c>
      <c r="L452" s="2">
        <v>3</v>
      </c>
      <c r="M452" s="2">
        <v>36215</v>
      </c>
      <c r="N452" s="2">
        <v>10</v>
      </c>
      <c r="O452" s="2">
        <v>97780.5</v>
      </c>
      <c r="P452" s="6">
        <v>13490.66</v>
      </c>
    </row>
    <row r="453" spans="1:16" x14ac:dyDescent="0.3">
      <c r="A453" s="5" t="s">
        <v>822</v>
      </c>
      <c r="B453" s="2" t="s">
        <v>258</v>
      </c>
      <c r="C453" s="2" t="str">
        <f t="shared" si="7"/>
        <v>October</v>
      </c>
      <c r="D453" s="2" t="s">
        <v>3</v>
      </c>
      <c r="E453" s="2" t="s">
        <v>75</v>
      </c>
      <c r="F453" s="2" t="s">
        <v>75</v>
      </c>
      <c r="G453" s="2" t="s">
        <v>8</v>
      </c>
      <c r="H453" s="2" t="s">
        <v>133</v>
      </c>
      <c r="I453" s="2" t="s">
        <v>133</v>
      </c>
      <c r="J453" s="2" t="s">
        <v>12</v>
      </c>
      <c r="K453" s="2" t="s">
        <v>21</v>
      </c>
      <c r="L453" s="2">
        <v>4</v>
      </c>
      <c r="M453" s="2">
        <v>10147</v>
      </c>
      <c r="N453" s="2">
        <v>5</v>
      </c>
      <c r="O453" s="2">
        <v>38558.6</v>
      </c>
      <c r="P453" s="6">
        <v>6241.27</v>
      </c>
    </row>
    <row r="454" spans="1:16" x14ac:dyDescent="0.3">
      <c r="A454" s="5" t="s">
        <v>823</v>
      </c>
      <c r="B454" s="2" t="s">
        <v>238</v>
      </c>
      <c r="C454" s="2" t="str">
        <f t="shared" si="7"/>
        <v>December</v>
      </c>
      <c r="D454" s="2" t="s">
        <v>2</v>
      </c>
      <c r="E454" s="2" t="s">
        <v>103</v>
      </c>
      <c r="F454" s="2" t="s">
        <v>104</v>
      </c>
      <c r="G454" s="2" t="s">
        <v>8</v>
      </c>
      <c r="H454" s="2" t="s">
        <v>76</v>
      </c>
      <c r="I454" s="2" t="s">
        <v>76</v>
      </c>
      <c r="J454" s="2" t="s">
        <v>15</v>
      </c>
      <c r="K454" s="2" t="s">
        <v>21</v>
      </c>
      <c r="L454" s="2">
        <v>9</v>
      </c>
      <c r="M454" s="2">
        <v>21345</v>
      </c>
      <c r="N454" s="2">
        <v>5</v>
      </c>
      <c r="O454" s="2">
        <v>182499.75</v>
      </c>
      <c r="P454" s="6">
        <v>47191.69</v>
      </c>
    </row>
    <row r="455" spans="1:16" x14ac:dyDescent="0.3">
      <c r="A455" s="5" t="s">
        <v>824</v>
      </c>
      <c r="B455" s="2" t="s">
        <v>825</v>
      </c>
      <c r="C455" s="2" t="str">
        <f t="shared" si="7"/>
        <v>June</v>
      </c>
      <c r="D455" s="2" t="s">
        <v>3</v>
      </c>
      <c r="E455" s="2" t="s">
        <v>75</v>
      </c>
      <c r="F455" s="2" t="s">
        <v>75</v>
      </c>
      <c r="G455" s="2" t="s">
        <v>8</v>
      </c>
      <c r="H455" s="2" t="s">
        <v>133</v>
      </c>
      <c r="I455" s="2" t="s">
        <v>133</v>
      </c>
      <c r="J455" s="2" t="s">
        <v>13</v>
      </c>
      <c r="K455" s="2" t="s">
        <v>21</v>
      </c>
      <c r="L455" s="2">
        <v>1</v>
      </c>
      <c r="M455" s="2">
        <v>48895</v>
      </c>
      <c r="N455" s="2">
        <v>10</v>
      </c>
      <c r="O455" s="2">
        <v>44005.5</v>
      </c>
      <c r="P455" s="6">
        <v>11347.47</v>
      </c>
    </row>
    <row r="456" spans="1:16" x14ac:dyDescent="0.3">
      <c r="A456" s="5" t="s">
        <v>826</v>
      </c>
      <c r="B456" s="2" t="s">
        <v>827</v>
      </c>
      <c r="C456" s="2" t="str">
        <f t="shared" si="7"/>
        <v>January</v>
      </c>
      <c r="D456" s="2" t="s">
        <v>2</v>
      </c>
      <c r="E456" s="2" t="s">
        <v>81</v>
      </c>
      <c r="F456" s="2" t="s">
        <v>82</v>
      </c>
      <c r="G456" s="2" t="s">
        <v>9</v>
      </c>
      <c r="H456" s="2" t="s">
        <v>59</v>
      </c>
      <c r="I456" s="2" t="s">
        <v>59</v>
      </c>
      <c r="J456" s="2" t="s">
        <v>18</v>
      </c>
      <c r="K456" s="2" t="s">
        <v>21</v>
      </c>
      <c r="L456" s="2">
        <v>1</v>
      </c>
      <c r="M456" s="2">
        <v>45162</v>
      </c>
      <c r="N456" s="2">
        <v>0</v>
      </c>
      <c r="O456" s="2">
        <v>45162</v>
      </c>
      <c r="P456" s="6">
        <v>6104.34</v>
      </c>
    </row>
    <row r="457" spans="1:16" x14ac:dyDescent="0.3">
      <c r="A457" s="5" t="s">
        <v>828</v>
      </c>
      <c r="B457" s="2" t="s">
        <v>829</v>
      </c>
      <c r="C457" s="2" t="str">
        <f t="shared" si="7"/>
        <v>January</v>
      </c>
      <c r="D457" s="2" t="s">
        <v>2</v>
      </c>
      <c r="E457" s="2" t="s">
        <v>103</v>
      </c>
      <c r="F457" s="2" t="s">
        <v>104</v>
      </c>
      <c r="G457" s="2" t="s">
        <v>10</v>
      </c>
      <c r="H457" s="2" t="s">
        <v>54</v>
      </c>
      <c r="I457" s="2" t="s">
        <v>54</v>
      </c>
      <c r="J457" s="2" t="s">
        <v>12</v>
      </c>
      <c r="K457" s="2" t="s">
        <v>21</v>
      </c>
      <c r="L457" s="2">
        <v>2</v>
      </c>
      <c r="M457" s="2">
        <v>37550</v>
      </c>
      <c r="N457" s="2">
        <v>10</v>
      </c>
      <c r="O457" s="2">
        <v>67590</v>
      </c>
      <c r="P457" s="6">
        <v>15517.52</v>
      </c>
    </row>
    <row r="458" spans="1:16" x14ac:dyDescent="0.3">
      <c r="A458" s="5" t="s">
        <v>830</v>
      </c>
      <c r="B458" s="2" t="s">
        <v>831</v>
      </c>
      <c r="C458" s="2" t="str">
        <f t="shared" si="7"/>
        <v>April</v>
      </c>
      <c r="D458" s="2" t="s">
        <v>4</v>
      </c>
      <c r="E458" s="2" t="s">
        <v>62</v>
      </c>
      <c r="F458" s="2" t="s">
        <v>63</v>
      </c>
      <c r="G458" s="2" t="s">
        <v>8</v>
      </c>
      <c r="H458" s="2" t="s">
        <v>76</v>
      </c>
      <c r="I458" s="2" t="s">
        <v>76</v>
      </c>
      <c r="J458" s="2" t="s">
        <v>16</v>
      </c>
      <c r="K458" s="2" t="s">
        <v>21</v>
      </c>
      <c r="L458" s="2">
        <v>7</v>
      </c>
      <c r="M458" s="2">
        <v>48102</v>
      </c>
      <c r="N458" s="2">
        <v>10</v>
      </c>
      <c r="O458" s="2">
        <v>303042.59999999998</v>
      </c>
      <c r="P458" s="6">
        <v>19459.84</v>
      </c>
    </row>
    <row r="459" spans="1:16" x14ac:dyDescent="0.3">
      <c r="A459" s="5" t="s">
        <v>832</v>
      </c>
      <c r="B459" s="2" t="s">
        <v>833</v>
      </c>
      <c r="C459" s="2" t="str">
        <f t="shared" si="7"/>
        <v>February</v>
      </c>
      <c r="D459" s="2" t="s">
        <v>3</v>
      </c>
      <c r="E459" s="2" t="s">
        <v>75</v>
      </c>
      <c r="F459" s="2" t="s">
        <v>75</v>
      </c>
      <c r="G459" s="2" t="s">
        <v>10</v>
      </c>
      <c r="H459" s="2" t="s">
        <v>69</v>
      </c>
      <c r="I459" s="2" t="s">
        <v>69</v>
      </c>
      <c r="J459" s="2" t="s">
        <v>16</v>
      </c>
      <c r="K459" s="2" t="s">
        <v>21</v>
      </c>
      <c r="L459" s="2">
        <v>3</v>
      </c>
      <c r="M459" s="2">
        <v>8994</v>
      </c>
      <c r="N459" s="2">
        <v>10</v>
      </c>
      <c r="O459" s="2">
        <v>24283.8</v>
      </c>
      <c r="P459" s="6">
        <v>3128.07</v>
      </c>
    </row>
    <row r="460" spans="1:16" x14ac:dyDescent="0.3">
      <c r="A460" s="5" t="s">
        <v>834</v>
      </c>
      <c r="B460" s="2" t="s">
        <v>835</v>
      </c>
      <c r="C460" s="2" t="str">
        <f t="shared" si="7"/>
        <v>October</v>
      </c>
      <c r="D460" s="2" t="s">
        <v>3</v>
      </c>
      <c r="E460" s="2" t="s">
        <v>117</v>
      </c>
      <c r="F460" s="2" t="s">
        <v>117</v>
      </c>
      <c r="G460" s="2" t="s">
        <v>8</v>
      </c>
      <c r="H460" s="2" t="s">
        <v>133</v>
      </c>
      <c r="I460" s="2" t="s">
        <v>133</v>
      </c>
      <c r="J460" s="2" t="s">
        <v>16</v>
      </c>
      <c r="K460" s="2" t="s">
        <v>21</v>
      </c>
      <c r="L460" s="2">
        <v>8</v>
      </c>
      <c r="M460" s="2">
        <v>34902</v>
      </c>
      <c r="N460" s="2">
        <v>5</v>
      </c>
      <c r="O460" s="2">
        <v>265255.2</v>
      </c>
      <c r="P460" s="6">
        <v>14803.8</v>
      </c>
    </row>
    <row r="461" spans="1:16" x14ac:dyDescent="0.3">
      <c r="A461" s="5" t="s">
        <v>836</v>
      </c>
      <c r="B461" s="2" t="s">
        <v>837</v>
      </c>
      <c r="C461" s="2" t="str">
        <f t="shared" si="7"/>
        <v>May</v>
      </c>
      <c r="D461" s="2" t="s">
        <v>4</v>
      </c>
      <c r="E461" s="2" t="s">
        <v>62</v>
      </c>
      <c r="F461" s="2" t="s">
        <v>63</v>
      </c>
      <c r="G461" s="2" t="s">
        <v>9</v>
      </c>
      <c r="H461" s="2" t="s">
        <v>59</v>
      </c>
      <c r="I461" s="2" t="s">
        <v>59</v>
      </c>
      <c r="J461" s="2" t="s">
        <v>19</v>
      </c>
      <c r="K461" s="2" t="s">
        <v>21</v>
      </c>
      <c r="L461" s="2">
        <v>10</v>
      </c>
      <c r="M461" s="2">
        <v>25958</v>
      </c>
      <c r="N461" s="2">
        <v>10</v>
      </c>
      <c r="O461" s="2">
        <v>233622</v>
      </c>
      <c r="P461" s="6">
        <v>48124.43</v>
      </c>
    </row>
    <row r="462" spans="1:16" x14ac:dyDescent="0.3">
      <c r="A462" s="5" t="s">
        <v>838</v>
      </c>
      <c r="B462" s="2" t="s">
        <v>61</v>
      </c>
      <c r="C462" s="2" t="str">
        <f t="shared" si="7"/>
        <v>April</v>
      </c>
      <c r="D462" s="2" t="s">
        <v>2</v>
      </c>
      <c r="E462" s="2" t="s">
        <v>103</v>
      </c>
      <c r="F462" s="2" t="s">
        <v>104</v>
      </c>
      <c r="G462" s="2" t="s">
        <v>9</v>
      </c>
      <c r="H462" s="2" t="s">
        <v>59</v>
      </c>
      <c r="I462" s="2" t="s">
        <v>59</v>
      </c>
      <c r="J462" s="2" t="s">
        <v>19</v>
      </c>
      <c r="K462" s="2" t="s">
        <v>21</v>
      </c>
      <c r="L462" s="2">
        <v>10</v>
      </c>
      <c r="M462" s="2">
        <v>10427</v>
      </c>
      <c r="N462" s="2">
        <v>5</v>
      </c>
      <c r="O462" s="2">
        <v>99056.5</v>
      </c>
      <c r="P462" s="6">
        <v>18731.490000000002</v>
      </c>
    </row>
    <row r="463" spans="1:16" x14ac:dyDescent="0.3">
      <c r="A463" s="5" t="s">
        <v>839</v>
      </c>
      <c r="B463" s="2" t="s">
        <v>381</v>
      </c>
      <c r="C463" s="2" t="str">
        <f t="shared" si="7"/>
        <v>September</v>
      </c>
      <c r="D463" s="2" t="s">
        <v>4</v>
      </c>
      <c r="E463" s="2" t="s">
        <v>67</v>
      </c>
      <c r="F463" s="2" t="s">
        <v>68</v>
      </c>
      <c r="G463" s="2" t="s">
        <v>10</v>
      </c>
      <c r="H463" s="2" t="s">
        <v>100</v>
      </c>
      <c r="I463" s="2" t="s">
        <v>100</v>
      </c>
      <c r="J463" s="2" t="s">
        <v>18</v>
      </c>
      <c r="K463" s="2" t="s">
        <v>22</v>
      </c>
      <c r="L463" s="2">
        <v>10</v>
      </c>
      <c r="M463" s="2">
        <v>34786</v>
      </c>
      <c r="N463" s="2">
        <v>15</v>
      </c>
      <c r="O463" s="2">
        <v>295681</v>
      </c>
      <c r="P463" s="6">
        <v>77627.03</v>
      </c>
    </row>
    <row r="464" spans="1:16" x14ac:dyDescent="0.3">
      <c r="A464" s="5" t="s">
        <v>840</v>
      </c>
      <c r="B464" s="2" t="s">
        <v>841</v>
      </c>
      <c r="C464" s="2" t="str">
        <f t="shared" si="7"/>
        <v>November</v>
      </c>
      <c r="D464" s="2" t="s">
        <v>4</v>
      </c>
      <c r="E464" s="2" t="s">
        <v>62</v>
      </c>
      <c r="F464" s="2" t="s">
        <v>63</v>
      </c>
      <c r="G464" s="2" t="s">
        <v>9</v>
      </c>
      <c r="H464" s="2" t="s">
        <v>72</v>
      </c>
      <c r="I464" s="2" t="s">
        <v>72</v>
      </c>
      <c r="J464" s="2" t="s">
        <v>15</v>
      </c>
      <c r="K464" s="2" t="s">
        <v>22</v>
      </c>
      <c r="L464" s="2">
        <v>1</v>
      </c>
      <c r="M464" s="2">
        <v>7061</v>
      </c>
      <c r="N464" s="2">
        <v>15</v>
      </c>
      <c r="O464" s="2">
        <v>6001.85</v>
      </c>
      <c r="P464" s="6">
        <v>606.20000000000005</v>
      </c>
    </row>
    <row r="465" spans="1:16" x14ac:dyDescent="0.3">
      <c r="A465" s="5" t="s">
        <v>842</v>
      </c>
      <c r="B465" s="2" t="s">
        <v>843</v>
      </c>
      <c r="C465" s="2" t="str">
        <f t="shared" si="7"/>
        <v>February</v>
      </c>
      <c r="D465" s="2" t="s">
        <v>3</v>
      </c>
      <c r="E465" s="2" t="s">
        <v>117</v>
      </c>
      <c r="F465" s="2" t="s">
        <v>117</v>
      </c>
      <c r="G465" s="2" t="s">
        <v>10</v>
      </c>
      <c r="H465" s="2" t="s">
        <v>54</v>
      </c>
      <c r="I465" s="2" t="s">
        <v>54</v>
      </c>
      <c r="J465" s="2" t="s">
        <v>12</v>
      </c>
      <c r="K465" s="2" t="s">
        <v>22</v>
      </c>
      <c r="L465" s="2">
        <v>10</v>
      </c>
      <c r="M465" s="2">
        <v>33501</v>
      </c>
      <c r="N465" s="2">
        <v>15</v>
      </c>
      <c r="O465" s="2">
        <v>284758.5</v>
      </c>
      <c r="P465" s="6">
        <v>30013.3</v>
      </c>
    </row>
    <row r="466" spans="1:16" x14ac:dyDescent="0.3">
      <c r="A466" s="5" t="s">
        <v>844</v>
      </c>
      <c r="B466" s="2" t="s">
        <v>845</v>
      </c>
      <c r="C466" s="2" t="str">
        <f t="shared" si="7"/>
        <v>October</v>
      </c>
      <c r="D466" s="2" t="s">
        <v>5</v>
      </c>
      <c r="E466" s="2" t="s">
        <v>57</v>
      </c>
      <c r="F466" s="2" t="s">
        <v>58</v>
      </c>
      <c r="G466" s="2" t="s">
        <v>8</v>
      </c>
      <c r="H466" s="2" t="s">
        <v>64</v>
      </c>
      <c r="I466" s="2" t="s">
        <v>64</v>
      </c>
      <c r="J466" s="2" t="s">
        <v>16</v>
      </c>
      <c r="K466" s="2" t="s">
        <v>21</v>
      </c>
      <c r="L466" s="2">
        <v>9</v>
      </c>
      <c r="M466" s="2">
        <v>7362</v>
      </c>
      <c r="N466" s="2">
        <v>20</v>
      </c>
      <c r="O466" s="2">
        <v>53006.400000000001</v>
      </c>
      <c r="P466" s="6">
        <v>13375.49</v>
      </c>
    </row>
    <row r="467" spans="1:16" x14ac:dyDescent="0.3">
      <c r="A467" s="5" t="s">
        <v>846</v>
      </c>
      <c r="B467" s="2" t="s">
        <v>204</v>
      </c>
      <c r="C467" s="2" t="str">
        <f t="shared" si="7"/>
        <v>October</v>
      </c>
      <c r="D467" s="2" t="s">
        <v>3</v>
      </c>
      <c r="E467" s="2" t="s">
        <v>75</v>
      </c>
      <c r="F467" s="2" t="s">
        <v>75</v>
      </c>
      <c r="G467" s="2" t="s">
        <v>10</v>
      </c>
      <c r="H467" s="2" t="s">
        <v>54</v>
      </c>
      <c r="I467" s="2" t="s">
        <v>54</v>
      </c>
      <c r="J467" s="2" t="s">
        <v>16</v>
      </c>
      <c r="K467" s="2" t="s">
        <v>21</v>
      </c>
      <c r="L467" s="2">
        <v>5</v>
      </c>
      <c r="M467" s="2">
        <v>40328</v>
      </c>
      <c r="N467" s="2">
        <v>15</v>
      </c>
      <c r="O467" s="2">
        <v>171394</v>
      </c>
      <c r="P467" s="6">
        <v>16763.77</v>
      </c>
    </row>
    <row r="468" spans="1:16" x14ac:dyDescent="0.3">
      <c r="A468" s="5" t="s">
        <v>847</v>
      </c>
      <c r="B468" s="2" t="s">
        <v>128</v>
      </c>
      <c r="C468" s="2" t="str">
        <f t="shared" si="7"/>
        <v>December</v>
      </c>
      <c r="D468" s="2" t="s">
        <v>3</v>
      </c>
      <c r="E468" s="2" t="s">
        <v>117</v>
      </c>
      <c r="F468" s="2" t="s">
        <v>117</v>
      </c>
      <c r="G468" s="2" t="s">
        <v>8</v>
      </c>
      <c r="H468" s="2" t="s">
        <v>93</v>
      </c>
      <c r="I468" s="2" t="s">
        <v>93</v>
      </c>
      <c r="J468" s="2" t="s">
        <v>16</v>
      </c>
      <c r="K468" s="2" t="s">
        <v>22</v>
      </c>
      <c r="L468" s="2">
        <v>7</v>
      </c>
      <c r="M468" s="2">
        <v>38055</v>
      </c>
      <c r="N468" s="2">
        <v>15</v>
      </c>
      <c r="O468" s="2">
        <v>226427.25</v>
      </c>
      <c r="P468" s="6">
        <v>17322.95</v>
      </c>
    </row>
    <row r="469" spans="1:16" x14ac:dyDescent="0.3">
      <c r="A469" s="5" t="s">
        <v>848</v>
      </c>
      <c r="B469" s="2" t="s">
        <v>186</v>
      </c>
      <c r="C469" s="2" t="str">
        <f t="shared" si="7"/>
        <v>October</v>
      </c>
      <c r="D469" s="2" t="s">
        <v>2</v>
      </c>
      <c r="E469" s="2" t="s">
        <v>81</v>
      </c>
      <c r="F469" s="2" t="s">
        <v>82</v>
      </c>
      <c r="G469" s="2" t="s">
        <v>9</v>
      </c>
      <c r="H469" s="2" t="s">
        <v>59</v>
      </c>
      <c r="I469" s="2" t="s">
        <v>59</v>
      </c>
      <c r="J469" s="2" t="s">
        <v>12</v>
      </c>
      <c r="K469" s="2" t="s">
        <v>21</v>
      </c>
      <c r="L469" s="2">
        <v>10</v>
      </c>
      <c r="M469" s="2">
        <v>34285</v>
      </c>
      <c r="N469" s="2">
        <v>0</v>
      </c>
      <c r="O469" s="2">
        <v>342850</v>
      </c>
      <c r="P469" s="6">
        <v>42890.31</v>
      </c>
    </row>
    <row r="470" spans="1:16" x14ac:dyDescent="0.3">
      <c r="A470" s="5" t="s">
        <v>849</v>
      </c>
      <c r="B470" s="2" t="s">
        <v>850</v>
      </c>
      <c r="C470" s="2" t="str">
        <f t="shared" si="7"/>
        <v>February</v>
      </c>
      <c r="D470" s="2" t="s">
        <v>3</v>
      </c>
      <c r="E470" s="2" t="s">
        <v>117</v>
      </c>
      <c r="F470" s="2" t="s">
        <v>117</v>
      </c>
      <c r="G470" s="2" t="s">
        <v>9</v>
      </c>
      <c r="H470" s="2" t="s">
        <v>72</v>
      </c>
      <c r="I470" s="2" t="s">
        <v>72</v>
      </c>
      <c r="J470" s="2" t="s">
        <v>13</v>
      </c>
      <c r="K470" s="2" t="s">
        <v>22</v>
      </c>
      <c r="L470" s="2">
        <v>4</v>
      </c>
      <c r="M470" s="2">
        <v>9224</v>
      </c>
      <c r="N470" s="2">
        <v>5</v>
      </c>
      <c r="O470" s="2">
        <v>35051.199999999997</v>
      </c>
      <c r="P470" s="6">
        <v>6102.56</v>
      </c>
    </row>
    <row r="471" spans="1:16" x14ac:dyDescent="0.3">
      <c r="A471" s="5" t="s">
        <v>851</v>
      </c>
      <c r="B471" s="2" t="s">
        <v>784</v>
      </c>
      <c r="C471" s="2" t="str">
        <f t="shared" si="7"/>
        <v>December</v>
      </c>
      <c r="D471" s="2" t="s">
        <v>5</v>
      </c>
      <c r="E471" s="2" t="s">
        <v>52</v>
      </c>
      <c r="F471" s="2" t="s">
        <v>53</v>
      </c>
      <c r="G471" s="2" t="s">
        <v>9</v>
      </c>
      <c r="H471" s="2" t="s">
        <v>90</v>
      </c>
      <c r="I471" s="2" t="s">
        <v>90</v>
      </c>
      <c r="J471" s="2" t="s">
        <v>14</v>
      </c>
      <c r="K471" s="2" t="s">
        <v>21</v>
      </c>
      <c r="L471" s="2">
        <v>6</v>
      </c>
      <c r="M471" s="2">
        <v>12616</v>
      </c>
      <c r="N471" s="2">
        <v>15</v>
      </c>
      <c r="O471" s="2">
        <v>64341.599999999999</v>
      </c>
      <c r="P471" s="6">
        <v>13259.21</v>
      </c>
    </row>
    <row r="472" spans="1:16" x14ac:dyDescent="0.3">
      <c r="A472" s="5" t="s">
        <v>852</v>
      </c>
      <c r="B472" s="2" t="s">
        <v>611</v>
      </c>
      <c r="C472" s="2" t="str">
        <f t="shared" si="7"/>
        <v>July</v>
      </c>
      <c r="D472" s="2" t="s">
        <v>5</v>
      </c>
      <c r="E472" s="2" t="s">
        <v>57</v>
      </c>
      <c r="F472" s="2" t="s">
        <v>58</v>
      </c>
      <c r="G472" s="2" t="s">
        <v>9</v>
      </c>
      <c r="H472" s="2" t="s">
        <v>90</v>
      </c>
      <c r="I472" s="2" t="s">
        <v>90</v>
      </c>
      <c r="J472" s="2" t="s">
        <v>14</v>
      </c>
      <c r="K472" s="2" t="s">
        <v>21</v>
      </c>
      <c r="L472" s="2">
        <v>7</v>
      </c>
      <c r="M472" s="2">
        <v>20571</v>
      </c>
      <c r="N472" s="2">
        <v>5</v>
      </c>
      <c r="O472" s="2">
        <v>136797.15</v>
      </c>
      <c r="P472" s="6">
        <v>39541.72</v>
      </c>
    </row>
    <row r="473" spans="1:16" x14ac:dyDescent="0.3">
      <c r="A473" s="5" t="s">
        <v>853</v>
      </c>
      <c r="B473" s="2" t="s">
        <v>854</v>
      </c>
      <c r="C473" s="2" t="str">
        <f t="shared" si="7"/>
        <v>February</v>
      </c>
      <c r="D473" s="2" t="s">
        <v>4</v>
      </c>
      <c r="E473" s="2" t="s">
        <v>67</v>
      </c>
      <c r="F473" s="2" t="s">
        <v>68</v>
      </c>
      <c r="G473" s="2" t="s">
        <v>8</v>
      </c>
      <c r="H473" s="2" t="s">
        <v>76</v>
      </c>
      <c r="I473" s="2" t="s">
        <v>76</v>
      </c>
      <c r="J473" s="2" t="s">
        <v>12</v>
      </c>
      <c r="K473" s="2" t="s">
        <v>21</v>
      </c>
      <c r="L473" s="2">
        <v>8</v>
      </c>
      <c r="M473" s="2">
        <v>37082</v>
      </c>
      <c r="N473" s="2">
        <v>10</v>
      </c>
      <c r="O473" s="2">
        <v>266990.40000000002</v>
      </c>
      <c r="P473" s="6">
        <v>25713.25</v>
      </c>
    </row>
    <row r="474" spans="1:16" x14ac:dyDescent="0.3">
      <c r="A474" s="5" t="s">
        <v>855</v>
      </c>
      <c r="B474" s="2" t="s">
        <v>389</v>
      </c>
      <c r="C474" s="2" t="str">
        <f t="shared" si="7"/>
        <v>December</v>
      </c>
      <c r="D474" s="2" t="s">
        <v>5</v>
      </c>
      <c r="E474" s="2" t="s">
        <v>57</v>
      </c>
      <c r="F474" s="2" t="s">
        <v>58</v>
      </c>
      <c r="G474" s="2" t="s">
        <v>9</v>
      </c>
      <c r="H474" s="2" t="s">
        <v>90</v>
      </c>
      <c r="I474" s="2" t="s">
        <v>90</v>
      </c>
      <c r="J474" s="2" t="s">
        <v>12</v>
      </c>
      <c r="K474" s="2" t="s">
        <v>22</v>
      </c>
      <c r="L474" s="2">
        <v>8</v>
      </c>
      <c r="M474" s="2">
        <v>26888</v>
      </c>
      <c r="N474" s="2">
        <v>5</v>
      </c>
      <c r="O474" s="2">
        <v>204348.79999999999</v>
      </c>
      <c r="P474" s="6">
        <v>52554.3</v>
      </c>
    </row>
    <row r="475" spans="1:16" x14ac:dyDescent="0.3">
      <c r="A475" s="5" t="s">
        <v>856</v>
      </c>
      <c r="B475" s="2" t="s">
        <v>503</v>
      </c>
      <c r="C475" s="2" t="str">
        <f t="shared" si="7"/>
        <v>March</v>
      </c>
      <c r="D475" s="2" t="s">
        <v>2</v>
      </c>
      <c r="E475" s="2" t="s">
        <v>81</v>
      </c>
      <c r="F475" s="2" t="s">
        <v>82</v>
      </c>
      <c r="G475" s="2" t="s">
        <v>10</v>
      </c>
      <c r="H475" s="2" t="s">
        <v>100</v>
      </c>
      <c r="I475" s="2" t="s">
        <v>100</v>
      </c>
      <c r="J475" s="2" t="s">
        <v>12</v>
      </c>
      <c r="K475" s="2" t="s">
        <v>21</v>
      </c>
      <c r="L475" s="2">
        <v>8</v>
      </c>
      <c r="M475" s="2">
        <v>14837</v>
      </c>
      <c r="N475" s="2">
        <v>15</v>
      </c>
      <c r="O475" s="2">
        <v>100891.6</v>
      </c>
      <c r="P475" s="6">
        <v>21984.48</v>
      </c>
    </row>
    <row r="476" spans="1:16" x14ac:dyDescent="0.3">
      <c r="A476" s="5" t="s">
        <v>857</v>
      </c>
      <c r="B476" s="2" t="s">
        <v>858</v>
      </c>
      <c r="C476" s="2" t="str">
        <f t="shared" si="7"/>
        <v>January</v>
      </c>
      <c r="D476" s="2" t="s">
        <v>4</v>
      </c>
      <c r="E476" s="2" t="s">
        <v>62</v>
      </c>
      <c r="F476" s="2" t="s">
        <v>63</v>
      </c>
      <c r="G476" s="2" t="s">
        <v>10</v>
      </c>
      <c r="H476" s="2" t="s">
        <v>69</v>
      </c>
      <c r="I476" s="2" t="s">
        <v>69</v>
      </c>
      <c r="J476" s="2" t="s">
        <v>14</v>
      </c>
      <c r="K476" s="2" t="s">
        <v>21</v>
      </c>
      <c r="L476" s="2">
        <v>7</v>
      </c>
      <c r="M476" s="2">
        <v>6321</v>
      </c>
      <c r="N476" s="2">
        <v>5</v>
      </c>
      <c r="O476" s="2">
        <v>42034.65</v>
      </c>
      <c r="P476" s="6">
        <v>10514.02</v>
      </c>
    </row>
    <row r="477" spans="1:16" x14ac:dyDescent="0.3">
      <c r="A477" s="5" t="s">
        <v>859</v>
      </c>
      <c r="B477" s="2" t="s">
        <v>860</v>
      </c>
      <c r="C477" s="2" t="str">
        <f t="shared" si="7"/>
        <v>June</v>
      </c>
      <c r="D477" s="2" t="s">
        <v>4</v>
      </c>
      <c r="E477" s="2" t="s">
        <v>62</v>
      </c>
      <c r="F477" s="2" t="s">
        <v>63</v>
      </c>
      <c r="G477" s="2" t="s">
        <v>10</v>
      </c>
      <c r="H477" s="2" t="s">
        <v>54</v>
      </c>
      <c r="I477" s="2" t="s">
        <v>54</v>
      </c>
      <c r="J477" s="2" t="s">
        <v>12</v>
      </c>
      <c r="K477" s="2" t="s">
        <v>21</v>
      </c>
      <c r="L477" s="2">
        <v>8</v>
      </c>
      <c r="M477" s="2">
        <v>42660</v>
      </c>
      <c r="N477" s="2">
        <v>5</v>
      </c>
      <c r="O477" s="2">
        <v>324216</v>
      </c>
      <c r="P477" s="6">
        <v>93312.17</v>
      </c>
    </row>
    <row r="478" spans="1:16" x14ac:dyDescent="0.3">
      <c r="A478" s="5" t="s">
        <v>861</v>
      </c>
      <c r="B478" s="2" t="s">
        <v>522</v>
      </c>
      <c r="C478" s="2" t="str">
        <f t="shared" si="7"/>
        <v>February</v>
      </c>
      <c r="D478" s="2" t="s">
        <v>4</v>
      </c>
      <c r="E478" s="2" t="s">
        <v>62</v>
      </c>
      <c r="F478" s="2" t="s">
        <v>63</v>
      </c>
      <c r="G478" s="2" t="s">
        <v>8</v>
      </c>
      <c r="H478" s="2" t="s">
        <v>64</v>
      </c>
      <c r="I478" s="2" t="s">
        <v>64</v>
      </c>
      <c r="J478" s="2" t="s">
        <v>15</v>
      </c>
      <c r="K478" s="2" t="s">
        <v>21</v>
      </c>
      <c r="L478" s="2">
        <v>9</v>
      </c>
      <c r="M478" s="2">
        <v>991</v>
      </c>
      <c r="N478" s="2">
        <v>10</v>
      </c>
      <c r="O478" s="2">
        <v>8027.1</v>
      </c>
      <c r="P478" s="6">
        <v>1766.8</v>
      </c>
    </row>
    <row r="479" spans="1:16" x14ac:dyDescent="0.3">
      <c r="A479" s="5" t="s">
        <v>862</v>
      </c>
      <c r="B479" s="2" t="s">
        <v>863</v>
      </c>
      <c r="C479" s="2" t="str">
        <f t="shared" si="7"/>
        <v>September</v>
      </c>
      <c r="D479" s="2" t="s">
        <v>2</v>
      </c>
      <c r="E479" s="2" t="s">
        <v>81</v>
      </c>
      <c r="F479" s="2" t="s">
        <v>82</v>
      </c>
      <c r="G479" s="2" t="s">
        <v>9</v>
      </c>
      <c r="H479" s="2" t="s">
        <v>126</v>
      </c>
      <c r="I479" s="2" t="s">
        <v>126</v>
      </c>
      <c r="J479" s="2" t="s">
        <v>15</v>
      </c>
      <c r="K479" s="2" t="s">
        <v>21</v>
      </c>
      <c r="L479" s="2">
        <v>1</v>
      </c>
      <c r="M479" s="2">
        <v>15020</v>
      </c>
      <c r="N479" s="2">
        <v>10</v>
      </c>
      <c r="O479" s="2">
        <v>13518</v>
      </c>
      <c r="P479" s="6">
        <v>3099.09</v>
      </c>
    </row>
    <row r="480" spans="1:16" x14ac:dyDescent="0.3">
      <c r="A480" s="5" t="s">
        <v>864</v>
      </c>
      <c r="B480" s="2" t="s">
        <v>464</v>
      </c>
      <c r="C480" s="2" t="str">
        <f t="shared" si="7"/>
        <v>May</v>
      </c>
      <c r="D480" s="2" t="s">
        <v>5</v>
      </c>
      <c r="E480" s="2" t="s">
        <v>52</v>
      </c>
      <c r="F480" s="2" t="s">
        <v>53</v>
      </c>
      <c r="G480" s="2" t="s">
        <v>10</v>
      </c>
      <c r="H480" s="2" t="s">
        <v>54</v>
      </c>
      <c r="I480" s="2" t="s">
        <v>54</v>
      </c>
      <c r="J480" s="2" t="s">
        <v>16</v>
      </c>
      <c r="K480" s="2" t="s">
        <v>22</v>
      </c>
      <c r="L480" s="2">
        <v>3</v>
      </c>
      <c r="M480" s="2">
        <v>35815</v>
      </c>
      <c r="N480" s="2">
        <v>10</v>
      </c>
      <c r="O480" s="2">
        <v>96700.5</v>
      </c>
      <c r="P480" s="6">
        <v>24106.240000000002</v>
      </c>
    </row>
    <row r="481" spans="1:16" x14ac:dyDescent="0.3">
      <c r="A481" s="5" t="s">
        <v>865</v>
      </c>
      <c r="B481" s="2" t="s">
        <v>866</v>
      </c>
      <c r="C481" s="2" t="str">
        <f t="shared" si="7"/>
        <v>August</v>
      </c>
      <c r="D481" s="2" t="s">
        <v>2</v>
      </c>
      <c r="E481" s="2" t="s">
        <v>81</v>
      </c>
      <c r="F481" s="2" t="s">
        <v>82</v>
      </c>
      <c r="G481" s="2" t="s">
        <v>9</v>
      </c>
      <c r="H481" s="2" t="s">
        <v>59</v>
      </c>
      <c r="I481" s="2" t="s">
        <v>59</v>
      </c>
      <c r="J481" s="2" t="s">
        <v>17</v>
      </c>
      <c r="K481" s="2" t="s">
        <v>22</v>
      </c>
      <c r="L481" s="2">
        <v>5</v>
      </c>
      <c r="M481" s="2">
        <v>14336</v>
      </c>
      <c r="N481" s="2">
        <v>0</v>
      </c>
      <c r="O481" s="2">
        <v>71680</v>
      </c>
      <c r="P481" s="6">
        <v>19951.96</v>
      </c>
    </row>
    <row r="482" spans="1:16" x14ac:dyDescent="0.3">
      <c r="A482" s="5" t="s">
        <v>867</v>
      </c>
      <c r="B482" s="2" t="s">
        <v>868</v>
      </c>
      <c r="C482" s="2" t="str">
        <f t="shared" si="7"/>
        <v>June</v>
      </c>
      <c r="D482" s="2" t="s">
        <v>2</v>
      </c>
      <c r="E482" s="2" t="s">
        <v>81</v>
      </c>
      <c r="F482" s="2" t="s">
        <v>82</v>
      </c>
      <c r="G482" s="2" t="s">
        <v>9</v>
      </c>
      <c r="H482" s="2" t="s">
        <v>126</v>
      </c>
      <c r="I482" s="2" t="s">
        <v>126</v>
      </c>
      <c r="J482" s="2" t="s">
        <v>19</v>
      </c>
      <c r="K482" s="2" t="s">
        <v>22</v>
      </c>
      <c r="L482" s="2">
        <v>4</v>
      </c>
      <c r="M482" s="2">
        <v>25379</v>
      </c>
      <c r="N482" s="2">
        <v>15</v>
      </c>
      <c r="O482" s="2">
        <v>86288.6</v>
      </c>
      <c r="P482" s="6">
        <v>14378.98</v>
      </c>
    </row>
    <row r="483" spans="1:16" x14ac:dyDescent="0.3">
      <c r="A483" s="5" t="s">
        <v>869</v>
      </c>
      <c r="B483" s="2" t="s">
        <v>347</v>
      </c>
      <c r="C483" s="2" t="str">
        <f t="shared" si="7"/>
        <v>September</v>
      </c>
      <c r="D483" s="2" t="s">
        <v>2</v>
      </c>
      <c r="E483" s="2" t="s">
        <v>103</v>
      </c>
      <c r="F483" s="2" t="s">
        <v>104</v>
      </c>
      <c r="G483" s="2" t="s">
        <v>9</v>
      </c>
      <c r="H483" s="2" t="s">
        <v>90</v>
      </c>
      <c r="I483" s="2" t="s">
        <v>90</v>
      </c>
      <c r="J483" s="2" t="s">
        <v>14</v>
      </c>
      <c r="K483" s="2" t="s">
        <v>22</v>
      </c>
      <c r="L483" s="2">
        <v>9</v>
      </c>
      <c r="M483" s="2">
        <v>32030</v>
      </c>
      <c r="N483" s="2">
        <v>15</v>
      </c>
      <c r="O483" s="2">
        <v>245029.5</v>
      </c>
      <c r="P483" s="6">
        <v>44465.57</v>
      </c>
    </row>
    <row r="484" spans="1:16" x14ac:dyDescent="0.3">
      <c r="A484" s="5" t="s">
        <v>870</v>
      </c>
      <c r="B484" s="2" t="s">
        <v>871</v>
      </c>
      <c r="C484" s="2" t="str">
        <f t="shared" si="7"/>
        <v>October</v>
      </c>
      <c r="D484" s="2" t="s">
        <v>3</v>
      </c>
      <c r="E484" s="2" t="s">
        <v>117</v>
      </c>
      <c r="F484" s="2" t="s">
        <v>117</v>
      </c>
      <c r="G484" s="2" t="s">
        <v>9</v>
      </c>
      <c r="H484" s="2" t="s">
        <v>126</v>
      </c>
      <c r="I484" s="2" t="s">
        <v>126</v>
      </c>
      <c r="J484" s="2" t="s">
        <v>18</v>
      </c>
      <c r="K484" s="2" t="s">
        <v>22</v>
      </c>
      <c r="L484" s="2">
        <v>3</v>
      </c>
      <c r="M484" s="2">
        <v>8971</v>
      </c>
      <c r="N484" s="2">
        <v>15</v>
      </c>
      <c r="O484" s="2">
        <v>22876.05</v>
      </c>
      <c r="P484" s="6">
        <v>3389.21</v>
      </c>
    </row>
    <row r="485" spans="1:16" x14ac:dyDescent="0.3">
      <c r="A485" s="5" t="s">
        <v>872</v>
      </c>
      <c r="B485" s="2" t="s">
        <v>474</v>
      </c>
      <c r="C485" s="2" t="str">
        <f t="shared" si="7"/>
        <v>April</v>
      </c>
      <c r="D485" s="2" t="s">
        <v>3</v>
      </c>
      <c r="E485" s="2" t="s">
        <v>117</v>
      </c>
      <c r="F485" s="2" t="s">
        <v>117</v>
      </c>
      <c r="G485" s="2" t="s">
        <v>8</v>
      </c>
      <c r="H485" s="2" t="s">
        <v>76</v>
      </c>
      <c r="I485" s="2" t="s">
        <v>76</v>
      </c>
      <c r="J485" s="2" t="s">
        <v>16</v>
      </c>
      <c r="K485" s="2" t="s">
        <v>22</v>
      </c>
      <c r="L485" s="2">
        <v>5</v>
      </c>
      <c r="M485" s="2">
        <v>12318</v>
      </c>
      <c r="N485" s="2">
        <v>5</v>
      </c>
      <c r="O485" s="2">
        <v>58510.5</v>
      </c>
      <c r="P485" s="6">
        <v>15282.77</v>
      </c>
    </row>
    <row r="486" spans="1:16" x14ac:dyDescent="0.3">
      <c r="A486" s="5" t="s">
        <v>873</v>
      </c>
      <c r="B486" s="2" t="s">
        <v>293</v>
      </c>
      <c r="C486" s="2" t="str">
        <f t="shared" si="7"/>
        <v>August</v>
      </c>
      <c r="D486" s="2" t="s">
        <v>3</v>
      </c>
      <c r="E486" s="2" t="s">
        <v>75</v>
      </c>
      <c r="F486" s="2" t="s">
        <v>75</v>
      </c>
      <c r="G486" s="2" t="s">
        <v>9</v>
      </c>
      <c r="H486" s="2" t="s">
        <v>90</v>
      </c>
      <c r="I486" s="2" t="s">
        <v>90</v>
      </c>
      <c r="J486" s="2" t="s">
        <v>15</v>
      </c>
      <c r="K486" s="2" t="s">
        <v>21</v>
      </c>
      <c r="L486" s="2">
        <v>10</v>
      </c>
      <c r="M486" s="2">
        <v>29787</v>
      </c>
      <c r="N486" s="2">
        <v>15</v>
      </c>
      <c r="O486" s="2">
        <v>253189.5</v>
      </c>
      <c r="P486" s="6">
        <v>64743.48</v>
      </c>
    </row>
    <row r="487" spans="1:16" x14ac:dyDescent="0.3">
      <c r="A487" s="5" t="s">
        <v>874</v>
      </c>
      <c r="B487" s="2" t="s">
        <v>452</v>
      </c>
      <c r="C487" s="2" t="str">
        <f t="shared" si="7"/>
        <v>February</v>
      </c>
      <c r="D487" s="2" t="s">
        <v>4</v>
      </c>
      <c r="E487" s="2" t="s">
        <v>67</v>
      </c>
      <c r="F487" s="2" t="s">
        <v>68</v>
      </c>
      <c r="G487" s="2" t="s">
        <v>8</v>
      </c>
      <c r="H487" s="2" t="s">
        <v>76</v>
      </c>
      <c r="I487" s="2" t="s">
        <v>76</v>
      </c>
      <c r="J487" s="2" t="s">
        <v>16</v>
      </c>
      <c r="K487" s="2" t="s">
        <v>21</v>
      </c>
      <c r="L487" s="2">
        <v>7</v>
      </c>
      <c r="M487" s="2">
        <v>47405</v>
      </c>
      <c r="N487" s="2">
        <v>20</v>
      </c>
      <c r="O487" s="2">
        <v>265468</v>
      </c>
      <c r="P487" s="6">
        <v>66180.009999999995</v>
      </c>
    </row>
    <row r="488" spans="1:16" x14ac:dyDescent="0.3">
      <c r="A488" s="5" t="s">
        <v>875</v>
      </c>
      <c r="B488" s="2" t="s">
        <v>495</v>
      </c>
      <c r="C488" s="2" t="str">
        <f t="shared" si="7"/>
        <v>June</v>
      </c>
      <c r="D488" s="2" t="s">
        <v>2</v>
      </c>
      <c r="E488" s="2" t="s">
        <v>81</v>
      </c>
      <c r="F488" s="2" t="s">
        <v>82</v>
      </c>
      <c r="G488" s="2" t="s">
        <v>8</v>
      </c>
      <c r="H488" s="2" t="s">
        <v>93</v>
      </c>
      <c r="I488" s="2" t="s">
        <v>93</v>
      </c>
      <c r="J488" s="2" t="s">
        <v>12</v>
      </c>
      <c r="K488" s="2" t="s">
        <v>21</v>
      </c>
      <c r="L488" s="2">
        <v>8</v>
      </c>
      <c r="M488" s="2">
        <v>35650</v>
      </c>
      <c r="N488" s="2">
        <v>10</v>
      </c>
      <c r="O488" s="2">
        <v>256680</v>
      </c>
      <c r="P488" s="6">
        <v>66123.91</v>
      </c>
    </row>
    <row r="489" spans="1:16" x14ac:dyDescent="0.3">
      <c r="A489" s="5" t="s">
        <v>876</v>
      </c>
      <c r="B489" s="2" t="s">
        <v>249</v>
      </c>
      <c r="C489" s="2" t="str">
        <f t="shared" si="7"/>
        <v>March</v>
      </c>
      <c r="D489" s="2" t="s">
        <v>5</v>
      </c>
      <c r="E489" s="2" t="s">
        <v>57</v>
      </c>
      <c r="F489" s="2" t="s">
        <v>58</v>
      </c>
      <c r="G489" s="2" t="s">
        <v>9</v>
      </c>
      <c r="H489" s="2" t="s">
        <v>59</v>
      </c>
      <c r="I489" s="2" t="s">
        <v>59</v>
      </c>
      <c r="J489" s="2" t="s">
        <v>16</v>
      </c>
      <c r="K489" s="2" t="s">
        <v>22</v>
      </c>
      <c r="L489" s="2">
        <v>6</v>
      </c>
      <c r="M489" s="2">
        <v>47466</v>
      </c>
      <c r="N489" s="2">
        <v>0</v>
      </c>
      <c r="O489" s="2">
        <v>284796</v>
      </c>
      <c r="P489" s="6">
        <v>29325.41</v>
      </c>
    </row>
    <row r="490" spans="1:16" x14ac:dyDescent="0.3">
      <c r="A490" s="5" t="s">
        <v>877</v>
      </c>
      <c r="B490" s="2" t="s">
        <v>186</v>
      </c>
      <c r="C490" s="2" t="str">
        <f t="shared" si="7"/>
        <v>October</v>
      </c>
      <c r="D490" s="2" t="s">
        <v>5</v>
      </c>
      <c r="E490" s="2" t="s">
        <v>57</v>
      </c>
      <c r="F490" s="2" t="s">
        <v>58</v>
      </c>
      <c r="G490" s="2" t="s">
        <v>10</v>
      </c>
      <c r="H490" s="2" t="s">
        <v>54</v>
      </c>
      <c r="I490" s="2" t="s">
        <v>54</v>
      </c>
      <c r="J490" s="2" t="s">
        <v>17</v>
      </c>
      <c r="K490" s="2" t="s">
        <v>21</v>
      </c>
      <c r="L490" s="2">
        <v>2</v>
      </c>
      <c r="M490" s="2">
        <v>32489</v>
      </c>
      <c r="N490" s="2">
        <v>5</v>
      </c>
      <c r="O490" s="2">
        <v>61729.1</v>
      </c>
      <c r="P490" s="6">
        <v>12416.3</v>
      </c>
    </row>
    <row r="491" spans="1:16" x14ac:dyDescent="0.3">
      <c r="A491" s="5" t="s">
        <v>878</v>
      </c>
      <c r="B491" s="2" t="s">
        <v>879</v>
      </c>
      <c r="C491" s="2" t="str">
        <f t="shared" si="7"/>
        <v>December</v>
      </c>
      <c r="D491" s="2" t="s">
        <v>5</v>
      </c>
      <c r="E491" s="2" t="s">
        <v>52</v>
      </c>
      <c r="F491" s="2" t="s">
        <v>53</v>
      </c>
      <c r="G491" s="2" t="s">
        <v>9</v>
      </c>
      <c r="H491" s="2" t="s">
        <v>126</v>
      </c>
      <c r="I491" s="2" t="s">
        <v>126</v>
      </c>
      <c r="J491" s="2" t="s">
        <v>19</v>
      </c>
      <c r="K491" s="2" t="s">
        <v>22</v>
      </c>
      <c r="L491" s="2">
        <v>8</v>
      </c>
      <c r="M491" s="2">
        <v>27310</v>
      </c>
      <c r="N491" s="2">
        <v>5</v>
      </c>
      <c r="O491" s="2">
        <v>207556</v>
      </c>
      <c r="P491" s="6">
        <v>36263.61</v>
      </c>
    </row>
    <row r="492" spans="1:16" x14ac:dyDescent="0.3">
      <c r="A492" s="5" t="s">
        <v>880</v>
      </c>
      <c r="B492" s="2" t="s">
        <v>881</v>
      </c>
      <c r="C492" s="2" t="str">
        <f t="shared" si="7"/>
        <v>March</v>
      </c>
      <c r="D492" s="2" t="s">
        <v>5</v>
      </c>
      <c r="E492" s="2" t="s">
        <v>57</v>
      </c>
      <c r="F492" s="2" t="s">
        <v>58</v>
      </c>
      <c r="G492" s="2" t="s">
        <v>8</v>
      </c>
      <c r="H492" s="2" t="s">
        <v>133</v>
      </c>
      <c r="I492" s="2" t="s">
        <v>133</v>
      </c>
      <c r="J492" s="2" t="s">
        <v>17</v>
      </c>
      <c r="K492" s="2" t="s">
        <v>22</v>
      </c>
      <c r="L492" s="2">
        <v>5</v>
      </c>
      <c r="M492" s="2">
        <v>35111</v>
      </c>
      <c r="N492" s="2">
        <v>10</v>
      </c>
      <c r="O492" s="2">
        <v>157999.5</v>
      </c>
      <c r="P492" s="6">
        <v>18091.2</v>
      </c>
    </row>
    <row r="493" spans="1:16" x14ac:dyDescent="0.3">
      <c r="A493" s="5" t="s">
        <v>882</v>
      </c>
      <c r="B493" s="2" t="s">
        <v>784</v>
      </c>
      <c r="C493" s="2" t="str">
        <f t="shared" si="7"/>
        <v>December</v>
      </c>
      <c r="D493" s="2" t="s">
        <v>4</v>
      </c>
      <c r="E493" s="2" t="s">
        <v>67</v>
      </c>
      <c r="F493" s="2" t="s">
        <v>68</v>
      </c>
      <c r="G493" s="2" t="s">
        <v>10</v>
      </c>
      <c r="H493" s="2" t="s">
        <v>83</v>
      </c>
      <c r="I493" s="2" t="s">
        <v>83</v>
      </c>
      <c r="J493" s="2" t="s">
        <v>15</v>
      </c>
      <c r="K493" s="2" t="s">
        <v>21</v>
      </c>
      <c r="L493" s="2">
        <v>4</v>
      </c>
      <c r="M493" s="2">
        <v>44926</v>
      </c>
      <c r="N493" s="2">
        <v>20</v>
      </c>
      <c r="O493" s="2">
        <v>143763.20000000001</v>
      </c>
      <c r="P493" s="6">
        <v>30786.81</v>
      </c>
    </row>
    <row r="494" spans="1:16" x14ac:dyDescent="0.3">
      <c r="A494" s="5" t="s">
        <v>883</v>
      </c>
      <c r="B494" s="2" t="s">
        <v>89</v>
      </c>
      <c r="C494" s="2" t="str">
        <f t="shared" si="7"/>
        <v>July</v>
      </c>
      <c r="D494" s="2" t="s">
        <v>4</v>
      </c>
      <c r="E494" s="2" t="s">
        <v>67</v>
      </c>
      <c r="F494" s="2" t="s">
        <v>68</v>
      </c>
      <c r="G494" s="2" t="s">
        <v>10</v>
      </c>
      <c r="H494" s="2" t="s">
        <v>69</v>
      </c>
      <c r="I494" s="2" t="s">
        <v>69</v>
      </c>
      <c r="J494" s="2" t="s">
        <v>12</v>
      </c>
      <c r="K494" s="2" t="s">
        <v>21</v>
      </c>
      <c r="L494" s="2">
        <v>5</v>
      </c>
      <c r="M494" s="2">
        <v>8796</v>
      </c>
      <c r="N494" s="2">
        <v>20</v>
      </c>
      <c r="O494" s="2">
        <v>35184</v>
      </c>
      <c r="P494" s="6">
        <v>4156.0600000000004</v>
      </c>
    </row>
    <row r="495" spans="1:16" x14ac:dyDescent="0.3">
      <c r="A495" s="5" t="s">
        <v>884</v>
      </c>
      <c r="B495" s="2" t="s">
        <v>885</v>
      </c>
      <c r="C495" s="2" t="str">
        <f t="shared" si="7"/>
        <v>May</v>
      </c>
      <c r="D495" s="2" t="s">
        <v>2</v>
      </c>
      <c r="E495" s="2" t="s">
        <v>103</v>
      </c>
      <c r="F495" s="2" t="s">
        <v>104</v>
      </c>
      <c r="G495" s="2" t="s">
        <v>10</v>
      </c>
      <c r="H495" s="2" t="s">
        <v>83</v>
      </c>
      <c r="I495" s="2" t="s">
        <v>83</v>
      </c>
      <c r="J495" s="2" t="s">
        <v>17</v>
      </c>
      <c r="K495" s="2" t="s">
        <v>22</v>
      </c>
      <c r="L495" s="2">
        <v>5</v>
      </c>
      <c r="M495" s="2">
        <v>16603</v>
      </c>
      <c r="N495" s="2">
        <v>15</v>
      </c>
      <c r="O495" s="2">
        <v>70562.75</v>
      </c>
      <c r="P495" s="6">
        <v>10757.1</v>
      </c>
    </row>
    <row r="496" spans="1:16" x14ac:dyDescent="0.3">
      <c r="A496" s="5" t="s">
        <v>886</v>
      </c>
      <c r="B496" s="2" t="s">
        <v>887</v>
      </c>
      <c r="C496" s="2" t="str">
        <f t="shared" si="7"/>
        <v>January</v>
      </c>
      <c r="D496" s="2" t="s">
        <v>4</v>
      </c>
      <c r="E496" s="2" t="s">
        <v>62</v>
      </c>
      <c r="F496" s="2" t="s">
        <v>63</v>
      </c>
      <c r="G496" s="2" t="s">
        <v>8</v>
      </c>
      <c r="H496" s="2" t="s">
        <v>93</v>
      </c>
      <c r="I496" s="2" t="s">
        <v>93</v>
      </c>
      <c r="J496" s="2" t="s">
        <v>15</v>
      </c>
      <c r="K496" s="2" t="s">
        <v>22</v>
      </c>
      <c r="L496" s="2">
        <v>4</v>
      </c>
      <c r="M496" s="2">
        <v>32366</v>
      </c>
      <c r="N496" s="2">
        <v>5</v>
      </c>
      <c r="O496" s="2">
        <v>122990.8</v>
      </c>
      <c r="P496" s="6">
        <v>19165.63</v>
      </c>
    </row>
    <row r="497" spans="1:16" x14ac:dyDescent="0.3">
      <c r="A497" s="5" t="s">
        <v>888</v>
      </c>
      <c r="B497" s="2" t="s">
        <v>277</v>
      </c>
      <c r="C497" s="2" t="str">
        <f t="shared" si="7"/>
        <v>April</v>
      </c>
      <c r="D497" s="2" t="s">
        <v>4</v>
      </c>
      <c r="E497" s="2" t="s">
        <v>62</v>
      </c>
      <c r="F497" s="2" t="s">
        <v>63</v>
      </c>
      <c r="G497" s="2" t="s">
        <v>8</v>
      </c>
      <c r="H497" s="2" t="s">
        <v>133</v>
      </c>
      <c r="I497" s="2" t="s">
        <v>133</v>
      </c>
      <c r="J497" s="2" t="s">
        <v>12</v>
      </c>
      <c r="K497" s="2" t="s">
        <v>21</v>
      </c>
      <c r="L497" s="2">
        <v>2</v>
      </c>
      <c r="M497" s="2">
        <v>32994</v>
      </c>
      <c r="N497" s="2">
        <v>10</v>
      </c>
      <c r="O497" s="2">
        <v>59389.2</v>
      </c>
      <c r="P497" s="6">
        <v>8185.51</v>
      </c>
    </row>
    <row r="498" spans="1:16" x14ac:dyDescent="0.3">
      <c r="A498" s="5" t="s">
        <v>889</v>
      </c>
      <c r="B498" s="2" t="s">
        <v>295</v>
      </c>
      <c r="C498" s="2" t="str">
        <f t="shared" si="7"/>
        <v>July</v>
      </c>
      <c r="D498" s="2" t="s">
        <v>3</v>
      </c>
      <c r="E498" s="2" t="s">
        <v>75</v>
      </c>
      <c r="F498" s="2" t="s">
        <v>75</v>
      </c>
      <c r="G498" s="2" t="s">
        <v>10</v>
      </c>
      <c r="H498" s="2" t="s">
        <v>54</v>
      </c>
      <c r="I498" s="2" t="s">
        <v>54</v>
      </c>
      <c r="J498" s="2" t="s">
        <v>15</v>
      </c>
      <c r="K498" s="2" t="s">
        <v>21</v>
      </c>
      <c r="L498" s="2">
        <v>7</v>
      </c>
      <c r="M498" s="2">
        <v>48678</v>
      </c>
      <c r="N498" s="2">
        <v>10</v>
      </c>
      <c r="O498" s="2">
        <v>306671.40000000002</v>
      </c>
      <c r="P498" s="6">
        <v>35778.68</v>
      </c>
    </row>
    <row r="499" spans="1:16" x14ac:dyDescent="0.3">
      <c r="A499" s="5" t="s">
        <v>890</v>
      </c>
      <c r="B499" s="2" t="s">
        <v>891</v>
      </c>
      <c r="C499" s="2" t="str">
        <f t="shared" si="7"/>
        <v>May</v>
      </c>
      <c r="D499" s="2" t="s">
        <v>2</v>
      </c>
      <c r="E499" s="2" t="s">
        <v>103</v>
      </c>
      <c r="F499" s="2" t="s">
        <v>104</v>
      </c>
      <c r="G499" s="2" t="s">
        <v>8</v>
      </c>
      <c r="H499" s="2" t="s">
        <v>133</v>
      </c>
      <c r="I499" s="2" t="s">
        <v>133</v>
      </c>
      <c r="J499" s="2" t="s">
        <v>19</v>
      </c>
      <c r="K499" s="2" t="s">
        <v>22</v>
      </c>
      <c r="L499" s="2">
        <v>4</v>
      </c>
      <c r="M499" s="2">
        <v>34718</v>
      </c>
      <c r="N499" s="2">
        <v>20</v>
      </c>
      <c r="O499" s="2">
        <v>111097.60000000001</v>
      </c>
      <c r="P499" s="6">
        <v>27771.14</v>
      </c>
    </row>
    <row r="500" spans="1:16" x14ac:dyDescent="0.3">
      <c r="A500" s="5" t="s">
        <v>892</v>
      </c>
      <c r="B500" s="2" t="s">
        <v>893</v>
      </c>
      <c r="C500" s="2" t="str">
        <f t="shared" si="7"/>
        <v>January</v>
      </c>
      <c r="D500" s="2" t="s">
        <v>3</v>
      </c>
      <c r="E500" s="2" t="s">
        <v>75</v>
      </c>
      <c r="F500" s="2" t="s">
        <v>75</v>
      </c>
      <c r="G500" s="2" t="s">
        <v>10</v>
      </c>
      <c r="H500" s="2" t="s">
        <v>69</v>
      </c>
      <c r="I500" s="2" t="s">
        <v>69</v>
      </c>
      <c r="J500" s="2" t="s">
        <v>15</v>
      </c>
      <c r="K500" s="2" t="s">
        <v>22</v>
      </c>
      <c r="L500" s="2">
        <v>10</v>
      </c>
      <c r="M500" s="2">
        <v>31660</v>
      </c>
      <c r="N500" s="2">
        <v>10</v>
      </c>
      <c r="O500" s="2">
        <v>284940</v>
      </c>
      <c r="P500" s="6">
        <v>41828.94</v>
      </c>
    </row>
    <row r="501" spans="1:16" x14ac:dyDescent="0.3">
      <c r="A501" s="5" t="s">
        <v>894</v>
      </c>
      <c r="B501" s="2" t="s">
        <v>123</v>
      </c>
      <c r="C501" s="2" t="str">
        <f t="shared" si="7"/>
        <v>March</v>
      </c>
      <c r="D501" s="2" t="s">
        <v>3</v>
      </c>
      <c r="E501" s="2" t="s">
        <v>117</v>
      </c>
      <c r="F501" s="2" t="s">
        <v>117</v>
      </c>
      <c r="G501" s="2" t="s">
        <v>10</v>
      </c>
      <c r="H501" s="2" t="s">
        <v>83</v>
      </c>
      <c r="I501" s="2" t="s">
        <v>83</v>
      </c>
      <c r="J501" s="2" t="s">
        <v>18</v>
      </c>
      <c r="K501" s="2" t="s">
        <v>22</v>
      </c>
      <c r="L501" s="2">
        <v>2</v>
      </c>
      <c r="M501" s="2">
        <v>12823</v>
      </c>
      <c r="N501" s="2">
        <v>5</v>
      </c>
      <c r="O501" s="2">
        <v>24363.7</v>
      </c>
      <c r="P501" s="6">
        <v>3897.12</v>
      </c>
    </row>
    <row r="502" spans="1:16" x14ac:dyDescent="0.3">
      <c r="A502" s="5" t="s">
        <v>895</v>
      </c>
      <c r="B502" s="2" t="s">
        <v>260</v>
      </c>
      <c r="C502" s="2" t="str">
        <f t="shared" si="7"/>
        <v>May</v>
      </c>
      <c r="D502" s="2" t="s">
        <v>2</v>
      </c>
      <c r="E502" s="2" t="s">
        <v>103</v>
      </c>
      <c r="F502" s="2" t="s">
        <v>104</v>
      </c>
      <c r="G502" s="2" t="s">
        <v>10</v>
      </c>
      <c r="H502" s="2" t="s">
        <v>100</v>
      </c>
      <c r="I502" s="2" t="s">
        <v>100</v>
      </c>
      <c r="J502" s="2" t="s">
        <v>15</v>
      </c>
      <c r="K502" s="2" t="s">
        <v>21</v>
      </c>
      <c r="L502" s="2">
        <v>7</v>
      </c>
      <c r="M502" s="2">
        <v>44463</v>
      </c>
      <c r="N502" s="2">
        <v>15</v>
      </c>
      <c r="O502" s="2">
        <v>264554.84999999998</v>
      </c>
      <c r="P502" s="6">
        <v>50084.1</v>
      </c>
    </row>
    <row r="503" spans="1:16" x14ac:dyDescent="0.3">
      <c r="A503" s="5" t="s">
        <v>896</v>
      </c>
      <c r="B503" s="2" t="s">
        <v>789</v>
      </c>
      <c r="C503" s="2" t="str">
        <f t="shared" si="7"/>
        <v>May</v>
      </c>
      <c r="D503" s="2" t="s">
        <v>3</v>
      </c>
      <c r="E503" s="2" t="s">
        <v>75</v>
      </c>
      <c r="F503" s="2" t="s">
        <v>75</v>
      </c>
      <c r="G503" s="2" t="s">
        <v>8</v>
      </c>
      <c r="H503" s="2" t="s">
        <v>64</v>
      </c>
      <c r="I503" s="2" t="s">
        <v>64</v>
      </c>
      <c r="J503" s="2" t="s">
        <v>17</v>
      </c>
      <c r="K503" s="2" t="s">
        <v>21</v>
      </c>
      <c r="L503" s="2">
        <v>3</v>
      </c>
      <c r="M503" s="2">
        <v>42811</v>
      </c>
      <c r="N503" s="2">
        <v>15</v>
      </c>
      <c r="O503" s="2">
        <v>109168.05</v>
      </c>
      <c r="P503" s="6">
        <v>13944.94</v>
      </c>
    </row>
    <row r="504" spans="1:16" x14ac:dyDescent="0.3">
      <c r="A504" s="5" t="s">
        <v>897</v>
      </c>
      <c r="B504" s="2" t="s">
        <v>97</v>
      </c>
      <c r="C504" s="2" t="str">
        <f t="shared" si="7"/>
        <v>August</v>
      </c>
      <c r="D504" s="2" t="s">
        <v>2</v>
      </c>
      <c r="E504" s="2" t="s">
        <v>103</v>
      </c>
      <c r="F504" s="2" t="s">
        <v>104</v>
      </c>
      <c r="G504" s="2" t="s">
        <v>10</v>
      </c>
      <c r="H504" s="2" t="s">
        <v>54</v>
      </c>
      <c r="I504" s="2" t="s">
        <v>54</v>
      </c>
      <c r="J504" s="2" t="s">
        <v>14</v>
      </c>
      <c r="K504" s="2" t="s">
        <v>22</v>
      </c>
      <c r="L504" s="2">
        <v>1</v>
      </c>
      <c r="M504" s="2">
        <v>19607</v>
      </c>
      <c r="N504" s="2">
        <v>5</v>
      </c>
      <c r="O504" s="2">
        <v>18626.650000000001</v>
      </c>
      <c r="P504" s="6">
        <v>3194.98</v>
      </c>
    </row>
    <row r="505" spans="1:16" x14ac:dyDescent="0.3">
      <c r="A505" s="5" t="s">
        <v>898</v>
      </c>
      <c r="B505" s="2" t="s">
        <v>899</v>
      </c>
      <c r="C505" s="2" t="str">
        <f t="shared" si="7"/>
        <v>October</v>
      </c>
      <c r="D505" s="2" t="s">
        <v>3</v>
      </c>
      <c r="E505" s="2" t="s">
        <v>117</v>
      </c>
      <c r="F505" s="2" t="s">
        <v>117</v>
      </c>
      <c r="G505" s="2" t="s">
        <v>9</v>
      </c>
      <c r="H505" s="2" t="s">
        <v>72</v>
      </c>
      <c r="I505" s="2" t="s">
        <v>72</v>
      </c>
      <c r="J505" s="2" t="s">
        <v>18</v>
      </c>
      <c r="K505" s="2" t="s">
        <v>21</v>
      </c>
      <c r="L505" s="2">
        <v>6</v>
      </c>
      <c r="M505" s="2">
        <v>35176</v>
      </c>
      <c r="N505" s="2">
        <v>15</v>
      </c>
      <c r="O505" s="2">
        <v>179397.6</v>
      </c>
      <c r="P505" s="6">
        <v>51299.51</v>
      </c>
    </row>
    <row r="506" spans="1:16" x14ac:dyDescent="0.3">
      <c r="A506" s="5" t="s">
        <v>900</v>
      </c>
      <c r="B506" s="2" t="s">
        <v>324</v>
      </c>
      <c r="C506" s="2" t="str">
        <f t="shared" si="7"/>
        <v>November</v>
      </c>
      <c r="D506" s="2" t="s">
        <v>3</v>
      </c>
      <c r="E506" s="2" t="s">
        <v>75</v>
      </c>
      <c r="F506" s="2" t="s">
        <v>75</v>
      </c>
      <c r="G506" s="2" t="s">
        <v>9</v>
      </c>
      <c r="H506" s="2" t="s">
        <v>126</v>
      </c>
      <c r="I506" s="2" t="s">
        <v>126</v>
      </c>
      <c r="J506" s="2" t="s">
        <v>19</v>
      </c>
      <c r="K506" s="2" t="s">
        <v>21</v>
      </c>
      <c r="L506" s="2">
        <v>7</v>
      </c>
      <c r="M506" s="2">
        <v>13920</v>
      </c>
      <c r="N506" s="2">
        <v>15</v>
      </c>
      <c r="O506" s="2">
        <v>82824</v>
      </c>
      <c r="P506" s="6">
        <v>18884.439999999999</v>
      </c>
    </row>
    <row r="507" spans="1:16" x14ac:dyDescent="0.3">
      <c r="A507" s="5" t="s">
        <v>901</v>
      </c>
      <c r="B507" s="2" t="s">
        <v>194</v>
      </c>
      <c r="C507" s="2" t="str">
        <f t="shared" si="7"/>
        <v>February</v>
      </c>
      <c r="D507" s="2" t="s">
        <v>3</v>
      </c>
      <c r="E507" s="2" t="s">
        <v>75</v>
      </c>
      <c r="F507" s="2" t="s">
        <v>75</v>
      </c>
      <c r="G507" s="2" t="s">
        <v>8</v>
      </c>
      <c r="H507" s="2" t="s">
        <v>93</v>
      </c>
      <c r="I507" s="2" t="s">
        <v>93</v>
      </c>
      <c r="J507" s="2" t="s">
        <v>17</v>
      </c>
      <c r="K507" s="2" t="s">
        <v>21</v>
      </c>
      <c r="L507" s="2">
        <v>1</v>
      </c>
      <c r="M507" s="2">
        <v>29637</v>
      </c>
      <c r="N507" s="2">
        <v>5</v>
      </c>
      <c r="O507" s="2">
        <v>28155.15</v>
      </c>
      <c r="P507" s="6">
        <v>7896.4</v>
      </c>
    </row>
    <row r="508" spans="1:16" x14ac:dyDescent="0.3">
      <c r="A508" s="5" t="s">
        <v>902</v>
      </c>
      <c r="B508" s="2" t="s">
        <v>903</v>
      </c>
      <c r="C508" s="2" t="str">
        <f t="shared" si="7"/>
        <v>May</v>
      </c>
      <c r="D508" s="2" t="s">
        <v>3</v>
      </c>
      <c r="E508" s="2" t="s">
        <v>117</v>
      </c>
      <c r="F508" s="2" t="s">
        <v>117</v>
      </c>
      <c r="G508" s="2" t="s">
        <v>10</v>
      </c>
      <c r="H508" s="2" t="s">
        <v>54</v>
      </c>
      <c r="I508" s="2" t="s">
        <v>54</v>
      </c>
      <c r="J508" s="2" t="s">
        <v>13</v>
      </c>
      <c r="K508" s="2" t="s">
        <v>21</v>
      </c>
      <c r="L508" s="2">
        <v>10</v>
      </c>
      <c r="M508" s="2">
        <v>17145</v>
      </c>
      <c r="N508" s="2">
        <v>20</v>
      </c>
      <c r="O508" s="2">
        <v>137160</v>
      </c>
      <c r="P508" s="6">
        <v>36410.83</v>
      </c>
    </row>
    <row r="509" spans="1:16" x14ac:dyDescent="0.3">
      <c r="A509" s="5" t="s">
        <v>904</v>
      </c>
      <c r="B509" s="2" t="s">
        <v>837</v>
      </c>
      <c r="C509" s="2" t="str">
        <f t="shared" si="7"/>
        <v>May</v>
      </c>
      <c r="D509" s="2" t="s">
        <v>5</v>
      </c>
      <c r="E509" s="2" t="s">
        <v>52</v>
      </c>
      <c r="F509" s="2" t="s">
        <v>53</v>
      </c>
      <c r="G509" s="2" t="s">
        <v>10</v>
      </c>
      <c r="H509" s="2" t="s">
        <v>69</v>
      </c>
      <c r="I509" s="2" t="s">
        <v>69</v>
      </c>
      <c r="J509" s="2" t="s">
        <v>16</v>
      </c>
      <c r="K509" s="2" t="s">
        <v>22</v>
      </c>
      <c r="L509" s="2">
        <v>1</v>
      </c>
      <c r="M509" s="2">
        <v>32735</v>
      </c>
      <c r="N509" s="2">
        <v>0</v>
      </c>
      <c r="O509" s="2">
        <v>32735</v>
      </c>
      <c r="P509" s="6">
        <v>7403.16</v>
      </c>
    </row>
    <row r="510" spans="1:16" x14ac:dyDescent="0.3">
      <c r="A510" s="5" t="s">
        <v>905</v>
      </c>
      <c r="B510" s="2" t="s">
        <v>906</v>
      </c>
      <c r="C510" s="2" t="str">
        <f t="shared" si="7"/>
        <v>February</v>
      </c>
      <c r="D510" s="2" t="s">
        <v>4</v>
      </c>
      <c r="E510" s="2" t="s">
        <v>67</v>
      </c>
      <c r="F510" s="2" t="s">
        <v>68</v>
      </c>
      <c r="G510" s="2" t="s">
        <v>9</v>
      </c>
      <c r="H510" s="2" t="s">
        <v>59</v>
      </c>
      <c r="I510" s="2" t="s">
        <v>59</v>
      </c>
      <c r="J510" s="2" t="s">
        <v>17</v>
      </c>
      <c r="K510" s="2" t="s">
        <v>21</v>
      </c>
      <c r="L510" s="2">
        <v>3</v>
      </c>
      <c r="M510" s="2">
        <v>3550</v>
      </c>
      <c r="N510" s="2">
        <v>10</v>
      </c>
      <c r="O510" s="2">
        <v>9585</v>
      </c>
      <c r="P510" s="6">
        <v>770.46</v>
      </c>
    </row>
    <row r="511" spans="1:16" x14ac:dyDescent="0.3">
      <c r="A511" s="5" t="s">
        <v>907</v>
      </c>
      <c r="B511" s="2" t="s">
        <v>908</v>
      </c>
      <c r="C511" s="2" t="str">
        <f t="shared" si="7"/>
        <v>May</v>
      </c>
      <c r="D511" s="2" t="s">
        <v>5</v>
      </c>
      <c r="E511" s="2" t="s">
        <v>57</v>
      </c>
      <c r="F511" s="2" t="s">
        <v>58</v>
      </c>
      <c r="G511" s="2" t="s">
        <v>9</v>
      </c>
      <c r="H511" s="2" t="s">
        <v>72</v>
      </c>
      <c r="I511" s="2" t="s">
        <v>72</v>
      </c>
      <c r="J511" s="2" t="s">
        <v>14</v>
      </c>
      <c r="K511" s="2" t="s">
        <v>21</v>
      </c>
      <c r="L511" s="2">
        <v>7</v>
      </c>
      <c r="M511" s="2">
        <v>9256</v>
      </c>
      <c r="N511" s="2">
        <v>15</v>
      </c>
      <c r="O511" s="2">
        <v>55073.2</v>
      </c>
      <c r="P511" s="6">
        <v>14024.61</v>
      </c>
    </row>
    <row r="512" spans="1:16" x14ac:dyDescent="0.3">
      <c r="A512" s="5" t="s">
        <v>909</v>
      </c>
      <c r="B512" s="2" t="s">
        <v>910</v>
      </c>
      <c r="C512" s="2" t="str">
        <f t="shared" si="7"/>
        <v>May</v>
      </c>
      <c r="D512" s="2" t="s">
        <v>5</v>
      </c>
      <c r="E512" s="2" t="s">
        <v>52</v>
      </c>
      <c r="F512" s="2" t="s">
        <v>53</v>
      </c>
      <c r="G512" s="2" t="s">
        <v>9</v>
      </c>
      <c r="H512" s="2" t="s">
        <v>72</v>
      </c>
      <c r="I512" s="2" t="s">
        <v>72</v>
      </c>
      <c r="J512" s="2" t="s">
        <v>13</v>
      </c>
      <c r="K512" s="2" t="s">
        <v>21</v>
      </c>
      <c r="L512" s="2">
        <v>5</v>
      </c>
      <c r="M512" s="2">
        <v>49676</v>
      </c>
      <c r="N512" s="2">
        <v>15</v>
      </c>
      <c r="O512" s="2">
        <v>211123</v>
      </c>
      <c r="P512" s="6">
        <v>37411.57</v>
      </c>
    </row>
    <row r="513" spans="1:16" x14ac:dyDescent="0.3">
      <c r="A513" s="5" t="s">
        <v>911</v>
      </c>
      <c r="B513" s="2" t="s">
        <v>912</v>
      </c>
      <c r="C513" s="2" t="str">
        <f t="shared" si="7"/>
        <v>March</v>
      </c>
      <c r="D513" s="2" t="s">
        <v>2</v>
      </c>
      <c r="E513" s="2" t="s">
        <v>103</v>
      </c>
      <c r="F513" s="2" t="s">
        <v>104</v>
      </c>
      <c r="G513" s="2" t="s">
        <v>9</v>
      </c>
      <c r="H513" s="2" t="s">
        <v>59</v>
      </c>
      <c r="I513" s="2" t="s">
        <v>59</v>
      </c>
      <c r="J513" s="2" t="s">
        <v>13</v>
      </c>
      <c r="K513" s="2" t="s">
        <v>21</v>
      </c>
      <c r="L513" s="2">
        <v>7</v>
      </c>
      <c r="M513" s="2">
        <v>31753</v>
      </c>
      <c r="N513" s="2">
        <v>15</v>
      </c>
      <c r="O513" s="2">
        <v>188930.35</v>
      </c>
      <c r="P513" s="6">
        <v>32540.52</v>
      </c>
    </row>
    <row r="514" spans="1:16" x14ac:dyDescent="0.3">
      <c r="A514" s="5" t="s">
        <v>913</v>
      </c>
      <c r="B514" s="2" t="s">
        <v>914</v>
      </c>
      <c r="C514" s="2" t="str">
        <f t="shared" si="7"/>
        <v>February</v>
      </c>
      <c r="D514" s="2" t="s">
        <v>2</v>
      </c>
      <c r="E514" s="2" t="s">
        <v>81</v>
      </c>
      <c r="F514" s="2" t="s">
        <v>82</v>
      </c>
      <c r="G514" s="2" t="s">
        <v>8</v>
      </c>
      <c r="H514" s="2" t="s">
        <v>76</v>
      </c>
      <c r="I514" s="2" t="s">
        <v>76</v>
      </c>
      <c r="J514" s="2" t="s">
        <v>17</v>
      </c>
      <c r="K514" s="2" t="s">
        <v>21</v>
      </c>
      <c r="L514" s="2">
        <v>2</v>
      </c>
      <c r="M514" s="2">
        <v>22587</v>
      </c>
      <c r="N514" s="2">
        <v>0</v>
      </c>
      <c r="O514" s="2">
        <v>45174</v>
      </c>
      <c r="P514" s="6">
        <v>10576.08</v>
      </c>
    </row>
    <row r="515" spans="1:16" x14ac:dyDescent="0.3">
      <c r="A515" s="5" t="s">
        <v>915</v>
      </c>
      <c r="B515" s="2" t="s">
        <v>916</v>
      </c>
      <c r="C515" s="2" t="str">
        <f t="shared" ref="C515:C578" si="8">TEXT(B515,"mmmm")</f>
        <v>April</v>
      </c>
      <c r="D515" s="2" t="s">
        <v>3</v>
      </c>
      <c r="E515" s="2" t="s">
        <v>75</v>
      </c>
      <c r="F515" s="2" t="s">
        <v>75</v>
      </c>
      <c r="G515" s="2" t="s">
        <v>9</v>
      </c>
      <c r="H515" s="2" t="s">
        <v>126</v>
      </c>
      <c r="I515" s="2" t="s">
        <v>126</v>
      </c>
      <c r="J515" s="2" t="s">
        <v>13</v>
      </c>
      <c r="K515" s="2" t="s">
        <v>22</v>
      </c>
      <c r="L515" s="2">
        <v>9</v>
      </c>
      <c r="M515" s="2">
        <v>41688</v>
      </c>
      <c r="N515" s="2">
        <v>20</v>
      </c>
      <c r="O515" s="2">
        <v>300153.59999999998</v>
      </c>
      <c r="P515" s="6">
        <v>63714.68</v>
      </c>
    </row>
    <row r="516" spans="1:16" x14ac:dyDescent="0.3">
      <c r="A516" s="5" t="s">
        <v>917</v>
      </c>
      <c r="B516" s="2" t="s">
        <v>918</v>
      </c>
      <c r="C516" s="2" t="str">
        <f t="shared" si="8"/>
        <v>September</v>
      </c>
      <c r="D516" s="2" t="s">
        <v>3</v>
      </c>
      <c r="E516" s="2" t="s">
        <v>75</v>
      </c>
      <c r="F516" s="2" t="s">
        <v>75</v>
      </c>
      <c r="G516" s="2" t="s">
        <v>9</v>
      </c>
      <c r="H516" s="2" t="s">
        <v>126</v>
      </c>
      <c r="I516" s="2" t="s">
        <v>126</v>
      </c>
      <c r="J516" s="2" t="s">
        <v>17</v>
      </c>
      <c r="K516" s="2" t="s">
        <v>21</v>
      </c>
      <c r="L516" s="2">
        <v>6</v>
      </c>
      <c r="M516" s="2">
        <v>13084</v>
      </c>
      <c r="N516" s="2">
        <v>5</v>
      </c>
      <c r="O516" s="2">
        <v>74578.8</v>
      </c>
      <c r="P516" s="6">
        <v>12976.83</v>
      </c>
    </row>
    <row r="517" spans="1:16" x14ac:dyDescent="0.3">
      <c r="A517" s="5" t="s">
        <v>919</v>
      </c>
      <c r="B517" s="2" t="s">
        <v>581</v>
      </c>
      <c r="C517" s="2" t="str">
        <f t="shared" si="8"/>
        <v>June</v>
      </c>
      <c r="D517" s="2" t="s">
        <v>4</v>
      </c>
      <c r="E517" s="2" t="s">
        <v>62</v>
      </c>
      <c r="F517" s="2" t="s">
        <v>63</v>
      </c>
      <c r="G517" s="2" t="s">
        <v>9</v>
      </c>
      <c r="H517" s="2" t="s">
        <v>72</v>
      </c>
      <c r="I517" s="2" t="s">
        <v>72</v>
      </c>
      <c r="J517" s="2" t="s">
        <v>15</v>
      </c>
      <c r="K517" s="2" t="s">
        <v>22</v>
      </c>
      <c r="L517" s="2">
        <v>9</v>
      </c>
      <c r="M517" s="2">
        <v>42967</v>
      </c>
      <c r="N517" s="2">
        <v>20</v>
      </c>
      <c r="O517" s="2">
        <v>309362.40000000002</v>
      </c>
      <c r="P517" s="6">
        <v>81438.100000000006</v>
      </c>
    </row>
    <row r="518" spans="1:16" x14ac:dyDescent="0.3">
      <c r="A518" s="5" t="s">
        <v>920</v>
      </c>
      <c r="B518" s="2" t="s">
        <v>921</v>
      </c>
      <c r="C518" s="2" t="str">
        <f t="shared" si="8"/>
        <v>January</v>
      </c>
      <c r="D518" s="2" t="s">
        <v>2</v>
      </c>
      <c r="E518" s="2" t="s">
        <v>103</v>
      </c>
      <c r="F518" s="2" t="s">
        <v>104</v>
      </c>
      <c r="G518" s="2" t="s">
        <v>9</v>
      </c>
      <c r="H518" s="2" t="s">
        <v>90</v>
      </c>
      <c r="I518" s="2" t="s">
        <v>90</v>
      </c>
      <c r="J518" s="2" t="s">
        <v>19</v>
      </c>
      <c r="K518" s="2" t="s">
        <v>21</v>
      </c>
      <c r="L518" s="2">
        <v>9</v>
      </c>
      <c r="M518" s="2">
        <v>45685</v>
      </c>
      <c r="N518" s="2">
        <v>15</v>
      </c>
      <c r="O518" s="2">
        <v>349490.25</v>
      </c>
      <c r="P518" s="6">
        <v>41722.69</v>
      </c>
    </row>
    <row r="519" spans="1:16" x14ac:dyDescent="0.3">
      <c r="A519" s="5" t="s">
        <v>922</v>
      </c>
      <c r="B519" s="2" t="s">
        <v>923</v>
      </c>
      <c r="C519" s="2" t="str">
        <f t="shared" si="8"/>
        <v>January</v>
      </c>
      <c r="D519" s="2" t="s">
        <v>2</v>
      </c>
      <c r="E519" s="2" t="s">
        <v>81</v>
      </c>
      <c r="F519" s="2" t="s">
        <v>82</v>
      </c>
      <c r="G519" s="2" t="s">
        <v>9</v>
      </c>
      <c r="H519" s="2" t="s">
        <v>59</v>
      </c>
      <c r="I519" s="2" t="s">
        <v>59</v>
      </c>
      <c r="J519" s="2" t="s">
        <v>16</v>
      </c>
      <c r="K519" s="2" t="s">
        <v>21</v>
      </c>
      <c r="L519" s="2">
        <v>3</v>
      </c>
      <c r="M519" s="2">
        <v>36151</v>
      </c>
      <c r="N519" s="2">
        <v>5</v>
      </c>
      <c r="O519" s="2">
        <v>103030.35</v>
      </c>
      <c r="P519" s="6">
        <v>24037.05</v>
      </c>
    </row>
    <row r="520" spans="1:16" x14ac:dyDescent="0.3">
      <c r="A520" s="5" t="s">
        <v>924</v>
      </c>
      <c r="B520" s="2" t="s">
        <v>925</v>
      </c>
      <c r="C520" s="2" t="str">
        <f t="shared" si="8"/>
        <v>June</v>
      </c>
      <c r="D520" s="2" t="s">
        <v>4</v>
      </c>
      <c r="E520" s="2" t="s">
        <v>67</v>
      </c>
      <c r="F520" s="2" t="s">
        <v>68</v>
      </c>
      <c r="G520" s="2" t="s">
        <v>9</v>
      </c>
      <c r="H520" s="2" t="s">
        <v>72</v>
      </c>
      <c r="I520" s="2" t="s">
        <v>72</v>
      </c>
      <c r="J520" s="2" t="s">
        <v>17</v>
      </c>
      <c r="K520" s="2" t="s">
        <v>22</v>
      </c>
      <c r="L520" s="2">
        <v>6</v>
      </c>
      <c r="M520" s="2">
        <v>45687</v>
      </c>
      <c r="N520" s="2">
        <v>10</v>
      </c>
      <c r="O520" s="2">
        <v>246709.8</v>
      </c>
      <c r="P520" s="6">
        <v>30473.200000000001</v>
      </c>
    </row>
    <row r="521" spans="1:16" x14ac:dyDescent="0.3">
      <c r="A521" s="5" t="s">
        <v>926</v>
      </c>
      <c r="B521" s="2" t="s">
        <v>609</v>
      </c>
      <c r="C521" s="2" t="str">
        <f t="shared" si="8"/>
        <v>August</v>
      </c>
      <c r="D521" s="2" t="s">
        <v>4</v>
      </c>
      <c r="E521" s="2" t="s">
        <v>62</v>
      </c>
      <c r="F521" s="2" t="s">
        <v>63</v>
      </c>
      <c r="G521" s="2" t="s">
        <v>8</v>
      </c>
      <c r="H521" s="2" t="s">
        <v>133</v>
      </c>
      <c r="I521" s="2" t="s">
        <v>133</v>
      </c>
      <c r="J521" s="2" t="s">
        <v>15</v>
      </c>
      <c r="K521" s="2" t="s">
        <v>22</v>
      </c>
      <c r="L521" s="2">
        <v>3</v>
      </c>
      <c r="M521" s="2">
        <v>2031</v>
      </c>
      <c r="N521" s="2">
        <v>20</v>
      </c>
      <c r="O521" s="2">
        <v>4874.3999999999996</v>
      </c>
      <c r="P521" s="6">
        <v>657.04</v>
      </c>
    </row>
    <row r="522" spans="1:16" x14ac:dyDescent="0.3">
      <c r="A522" s="5" t="s">
        <v>927</v>
      </c>
      <c r="B522" s="2" t="s">
        <v>327</v>
      </c>
      <c r="C522" s="2" t="str">
        <f t="shared" si="8"/>
        <v>June</v>
      </c>
      <c r="D522" s="2" t="s">
        <v>3</v>
      </c>
      <c r="E522" s="2" t="s">
        <v>75</v>
      </c>
      <c r="F522" s="2" t="s">
        <v>75</v>
      </c>
      <c r="G522" s="2" t="s">
        <v>8</v>
      </c>
      <c r="H522" s="2" t="s">
        <v>64</v>
      </c>
      <c r="I522" s="2" t="s">
        <v>64</v>
      </c>
      <c r="J522" s="2" t="s">
        <v>16</v>
      </c>
      <c r="K522" s="2" t="s">
        <v>22</v>
      </c>
      <c r="L522" s="2">
        <v>8</v>
      </c>
      <c r="M522" s="2">
        <v>19009</v>
      </c>
      <c r="N522" s="2">
        <v>5</v>
      </c>
      <c r="O522" s="2">
        <v>144468.4</v>
      </c>
      <c r="P522" s="6">
        <v>28437.8</v>
      </c>
    </row>
    <row r="523" spans="1:16" x14ac:dyDescent="0.3">
      <c r="A523" s="5" t="s">
        <v>928</v>
      </c>
      <c r="B523" s="2" t="s">
        <v>474</v>
      </c>
      <c r="C523" s="2" t="str">
        <f t="shared" si="8"/>
        <v>April</v>
      </c>
      <c r="D523" s="2" t="s">
        <v>3</v>
      </c>
      <c r="E523" s="2" t="s">
        <v>75</v>
      </c>
      <c r="F523" s="2" t="s">
        <v>75</v>
      </c>
      <c r="G523" s="2" t="s">
        <v>9</v>
      </c>
      <c r="H523" s="2" t="s">
        <v>59</v>
      </c>
      <c r="I523" s="2" t="s">
        <v>59</v>
      </c>
      <c r="J523" s="2" t="s">
        <v>18</v>
      </c>
      <c r="K523" s="2" t="s">
        <v>21</v>
      </c>
      <c r="L523" s="2">
        <v>3</v>
      </c>
      <c r="M523" s="2">
        <v>44560</v>
      </c>
      <c r="N523" s="2">
        <v>15</v>
      </c>
      <c r="O523" s="2">
        <v>113628</v>
      </c>
      <c r="P523" s="6">
        <v>30095.47</v>
      </c>
    </row>
    <row r="524" spans="1:16" x14ac:dyDescent="0.3">
      <c r="A524" s="5" t="s">
        <v>929</v>
      </c>
      <c r="B524" s="2" t="s">
        <v>912</v>
      </c>
      <c r="C524" s="2" t="str">
        <f t="shared" si="8"/>
        <v>March</v>
      </c>
      <c r="D524" s="2" t="s">
        <v>5</v>
      </c>
      <c r="E524" s="2" t="s">
        <v>52</v>
      </c>
      <c r="F524" s="2" t="s">
        <v>53</v>
      </c>
      <c r="G524" s="2" t="s">
        <v>8</v>
      </c>
      <c r="H524" s="2" t="s">
        <v>64</v>
      </c>
      <c r="I524" s="2" t="s">
        <v>64</v>
      </c>
      <c r="J524" s="2" t="s">
        <v>14</v>
      </c>
      <c r="K524" s="2" t="s">
        <v>21</v>
      </c>
      <c r="L524" s="2">
        <v>6</v>
      </c>
      <c r="M524" s="2">
        <v>29521</v>
      </c>
      <c r="N524" s="2">
        <v>10</v>
      </c>
      <c r="O524" s="2">
        <v>159413.4</v>
      </c>
      <c r="P524" s="6">
        <v>34160.519999999997</v>
      </c>
    </row>
    <row r="525" spans="1:16" x14ac:dyDescent="0.3">
      <c r="A525" s="5" t="s">
        <v>930</v>
      </c>
      <c r="B525" s="2" t="s">
        <v>581</v>
      </c>
      <c r="C525" s="2" t="str">
        <f t="shared" si="8"/>
        <v>June</v>
      </c>
      <c r="D525" s="2" t="s">
        <v>5</v>
      </c>
      <c r="E525" s="2" t="s">
        <v>57</v>
      </c>
      <c r="F525" s="2" t="s">
        <v>58</v>
      </c>
      <c r="G525" s="2" t="s">
        <v>9</v>
      </c>
      <c r="H525" s="2" t="s">
        <v>90</v>
      </c>
      <c r="I525" s="2" t="s">
        <v>90</v>
      </c>
      <c r="J525" s="2" t="s">
        <v>14</v>
      </c>
      <c r="K525" s="2" t="s">
        <v>21</v>
      </c>
      <c r="L525" s="2">
        <v>9</v>
      </c>
      <c r="M525" s="2">
        <v>3955</v>
      </c>
      <c r="N525" s="2">
        <v>5</v>
      </c>
      <c r="O525" s="2">
        <v>33815.25</v>
      </c>
      <c r="P525" s="6">
        <v>5730.46</v>
      </c>
    </row>
    <row r="526" spans="1:16" x14ac:dyDescent="0.3">
      <c r="A526" s="5" t="s">
        <v>931</v>
      </c>
      <c r="B526" s="2" t="s">
        <v>899</v>
      </c>
      <c r="C526" s="2" t="str">
        <f t="shared" si="8"/>
        <v>October</v>
      </c>
      <c r="D526" s="2" t="s">
        <v>2</v>
      </c>
      <c r="E526" s="2" t="s">
        <v>103</v>
      </c>
      <c r="F526" s="2" t="s">
        <v>104</v>
      </c>
      <c r="G526" s="2" t="s">
        <v>9</v>
      </c>
      <c r="H526" s="2" t="s">
        <v>90</v>
      </c>
      <c r="I526" s="2" t="s">
        <v>90</v>
      </c>
      <c r="J526" s="2" t="s">
        <v>13</v>
      </c>
      <c r="K526" s="2" t="s">
        <v>21</v>
      </c>
      <c r="L526" s="2">
        <v>5</v>
      </c>
      <c r="M526" s="2">
        <v>27010</v>
      </c>
      <c r="N526" s="2">
        <v>20</v>
      </c>
      <c r="O526" s="2">
        <v>108040</v>
      </c>
      <c r="P526" s="6">
        <v>13602.64</v>
      </c>
    </row>
    <row r="527" spans="1:16" x14ac:dyDescent="0.3">
      <c r="A527" s="5" t="s">
        <v>932</v>
      </c>
      <c r="B527" s="2" t="s">
        <v>697</v>
      </c>
      <c r="C527" s="2" t="str">
        <f t="shared" si="8"/>
        <v>June</v>
      </c>
      <c r="D527" s="2" t="s">
        <v>5</v>
      </c>
      <c r="E527" s="2" t="s">
        <v>57</v>
      </c>
      <c r="F527" s="2" t="s">
        <v>58</v>
      </c>
      <c r="G527" s="2" t="s">
        <v>10</v>
      </c>
      <c r="H527" s="2" t="s">
        <v>54</v>
      </c>
      <c r="I527" s="2" t="s">
        <v>54</v>
      </c>
      <c r="J527" s="2" t="s">
        <v>13</v>
      </c>
      <c r="K527" s="2" t="s">
        <v>21</v>
      </c>
      <c r="L527" s="2">
        <v>6</v>
      </c>
      <c r="M527" s="2">
        <v>1923</v>
      </c>
      <c r="N527" s="2">
        <v>0</v>
      </c>
      <c r="O527" s="2">
        <v>11538</v>
      </c>
      <c r="P527" s="6">
        <v>1017.08</v>
      </c>
    </row>
    <row r="528" spans="1:16" x14ac:dyDescent="0.3">
      <c r="A528" s="5" t="s">
        <v>933</v>
      </c>
      <c r="B528" s="2" t="s">
        <v>424</v>
      </c>
      <c r="C528" s="2" t="str">
        <f t="shared" si="8"/>
        <v>February</v>
      </c>
      <c r="D528" s="2" t="s">
        <v>2</v>
      </c>
      <c r="E528" s="2" t="s">
        <v>81</v>
      </c>
      <c r="F528" s="2" t="s">
        <v>82</v>
      </c>
      <c r="G528" s="2" t="s">
        <v>10</v>
      </c>
      <c r="H528" s="2" t="s">
        <v>100</v>
      </c>
      <c r="I528" s="2" t="s">
        <v>100</v>
      </c>
      <c r="J528" s="2" t="s">
        <v>18</v>
      </c>
      <c r="K528" s="2" t="s">
        <v>21</v>
      </c>
      <c r="L528" s="2">
        <v>7</v>
      </c>
      <c r="M528" s="2">
        <v>33950</v>
      </c>
      <c r="N528" s="2">
        <v>10</v>
      </c>
      <c r="O528" s="2">
        <v>213885</v>
      </c>
      <c r="P528" s="6">
        <v>38064.660000000003</v>
      </c>
    </row>
    <row r="529" spans="1:16" x14ac:dyDescent="0.3">
      <c r="A529" s="5" t="s">
        <v>934</v>
      </c>
      <c r="B529" s="2" t="s">
        <v>354</v>
      </c>
      <c r="C529" s="2" t="str">
        <f t="shared" si="8"/>
        <v>May</v>
      </c>
      <c r="D529" s="2" t="s">
        <v>4</v>
      </c>
      <c r="E529" s="2" t="s">
        <v>67</v>
      </c>
      <c r="F529" s="2" t="s">
        <v>68</v>
      </c>
      <c r="G529" s="2" t="s">
        <v>8</v>
      </c>
      <c r="H529" s="2" t="s">
        <v>133</v>
      </c>
      <c r="I529" s="2" t="s">
        <v>133</v>
      </c>
      <c r="J529" s="2" t="s">
        <v>12</v>
      </c>
      <c r="K529" s="2" t="s">
        <v>21</v>
      </c>
      <c r="L529" s="2">
        <v>6</v>
      </c>
      <c r="M529" s="2">
        <v>46474</v>
      </c>
      <c r="N529" s="2">
        <v>15</v>
      </c>
      <c r="O529" s="2">
        <v>237017.4</v>
      </c>
      <c r="P529" s="6">
        <v>29202.29</v>
      </c>
    </row>
    <row r="530" spans="1:16" x14ac:dyDescent="0.3">
      <c r="A530" s="5" t="s">
        <v>935</v>
      </c>
      <c r="B530" s="2" t="s">
        <v>706</v>
      </c>
      <c r="C530" s="2" t="str">
        <f t="shared" si="8"/>
        <v>September</v>
      </c>
      <c r="D530" s="2" t="s">
        <v>3</v>
      </c>
      <c r="E530" s="2" t="s">
        <v>117</v>
      </c>
      <c r="F530" s="2" t="s">
        <v>117</v>
      </c>
      <c r="G530" s="2" t="s">
        <v>10</v>
      </c>
      <c r="H530" s="2" t="s">
        <v>69</v>
      </c>
      <c r="I530" s="2" t="s">
        <v>69</v>
      </c>
      <c r="J530" s="2" t="s">
        <v>19</v>
      </c>
      <c r="K530" s="2" t="s">
        <v>22</v>
      </c>
      <c r="L530" s="2">
        <v>8</v>
      </c>
      <c r="M530" s="2">
        <v>49327</v>
      </c>
      <c r="N530" s="2">
        <v>15</v>
      </c>
      <c r="O530" s="2">
        <v>335423.59999999998</v>
      </c>
      <c r="P530" s="6">
        <v>76369.39</v>
      </c>
    </row>
    <row r="531" spans="1:16" x14ac:dyDescent="0.3">
      <c r="A531" s="5" t="s">
        <v>936</v>
      </c>
      <c r="B531" s="2" t="s">
        <v>665</v>
      </c>
      <c r="C531" s="2" t="str">
        <f t="shared" si="8"/>
        <v>March</v>
      </c>
      <c r="D531" s="2" t="s">
        <v>3</v>
      </c>
      <c r="E531" s="2" t="s">
        <v>117</v>
      </c>
      <c r="F531" s="2" t="s">
        <v>117</v>
      </c>
      <c r="G531" s="2" t="s">
        <v>10</v>
      </c>
      <c r="H531" s="2" t="s">
        <v>69</v>
      </c>
      <c r="I531" s="2" t="s">
        <v>69</v>
      </c>
      <c r="J531" s="2" t="s">
        <v>19</v>
      </c>
      <c r="K531" s="2" t="s">
        <v>22</v>
      </c>
      <c r="L531" s="2">
        <v>2</v>
      </c>
      <c r="M531" s="2">
        <v>41387</v>
      </c>
      <c r="N531" s="2">
        <v>5</v>
      </c>
      <c r="O531" s="2">
        <v>78635.3</v>
      </c>
      <c r="P531" s="6">
        <v>12286.25</v>
      </c>
    </row>
    <row r="532" spans="1:16" x14ac:dyDescent="0.3">
      <c r="A532" s="5" t="s">
        <v>937</v>
      </c>
      <c r="B532" s="2" t="s">
        <v>703</v>
      </c>
      <c r="C532" s="2" t="str">
        <f t="shared" si="8"/>
        <v>June</v>
      </c>
      <c r="D532" s="2" t="s">
        <v>5</v>
      </c>
      <c r="E532" s="2" t="s">
        <v>57</v>
      </c>
      <c r="F532" s="2" t="s">
        <v>58</v>
      </c>
      <c r="G532" s="2" t="s">
        <v>8</v>
      </c>
      <c r="H532" s="2" t="s">
        <v>133</v>
      </c>
      <c r="I532" s="2" t="s">
        <v>133</v>
      </c>
      <c r="J532" s="2" t="s">
        <v>13</v>
      </c>
      <c r="K532" s="2" t="s">
        <v>22</v>
      </c>
      <c r="L532" s="2">
        <v>1</v>
      </c>
      <c r="M532" s="2">
        <v>5871</v>
      </c>
      <c r="N532" s="2">
        <v>10</v>
      </c>
      <c r="O532" s="2">
        <v>5283.9</v>
      </c>
      <c r="P532" s="6">
        <v>1455.61</v>
      </c>
    </row>
    <row r="533" spans="1:16" x14ac:dyDescent="0.3">
      <c r="A533" s="5" t="s">
        <v>938</v>
      </c>
      <c r="B533" s="2" t="s">
        <v>167</v>
      </c>
      <c r="C533" s="2" t="str">
        <f t="shared" si="8"/>
        <v>February</v>
      </c>
      <c r="D533" s="2" t="s">
        <v>4</v>
      </c>
      <c r="E533" s="2" t="s">
        <v>67</v>
      </c>
      <c r="F533" s="2" t="s">
        <v>68</v>
      </c>
      <c r="G533" s="2" t="s">
        <v>10</v>
      </c>
      <c r="H533" s="2" t="s">
        <v>54</v>
      </c>
      <c r="I533" s="2" t="s">
        <v>54</v>
      </c>
      <c r="J533" s="2" t="s">
        <v>14</v>
      </c>
      <c r="K533" s="2" t="s">
        <v>22</v>
      </c>
      <c r="L533" s="2">
        <v>3</v>
      </c>
      <c r="M533" s="2">
        <v>37853</v>
      </c>
      <c r="N533" s="2">
        <v>20</v>
      </c>
      <c r="O533" s="2">
        <v>90847.2</v>
      </c>
      <c r="P533" s="6">
        <v>12551.84</v>
      </c>
    </row>
    <row r="534" spans="1:16" x14ac:dyDescent="0.3">
      <c r="A534" s="5" t="s">
        <v>939</v>
      </c>
      <c r="B534" s="2" t="s">
        <v>757</v>
      </c>
      <c r="C534" s="2" t="str">
        <f t="shared" si="8"/>
        <v>February</v>
      </c>
      <c r="D534" s="2" t="s">
        <v>2</v>
      </c>
      <c r="E534" s="2" t="s">
        <v>103</v>
      </c>
      <c r="F534" s="2" t="s">
        <v>104</v>
      </c>
      <c r="G534" s="2" t="s">
        <v>9</v>
      </c>
      <c r="H534" s="2" t="s">
        <v>59</v>
      </c>
      <c r="I534" s="2" t="s">
        <v>59</v>
      </c>
      <c r="J534" s="2" t="s">
        <v>12</v>
      </c>
      <c r="K534" s="2" t="s">
        <v>22</v>
      </c>
      <c r="L534" s="2">
        <v>1</v>
      </c>
      <c r="M534" s="2">
        <v>15371</v>
      </c>
      <c r="N534" s="2">
        <v>15</v>
      </c>
      <c r="O534" s="2">
        <v>13065.35</v>
      </c>
      <c r="P534" s="6">
        <v>3703.34</v>
      </c>
    </row>
    <row r="535" spans="1:16" x14ac:dyDescent="0.3">
      <c r="A535" s="5" t="s">
        <v>940</v>
      </c>
      <c r="B535" s="2" t="s">
        <v>941</v>
      </c>
      <c r="C535" s="2" t="str">
        <f t="shared" si="8"/>
        <v>April</v>
      </c>
      <c r="D535" s="2" t="s">
        <v>2</v>
      </c>
      <c r="E535" s="2" t="s">
        <v>81</v>
      </c>
      <c r="F535" s="2" t="s">
        <v>82</v>
      </c>
      <c r="G535" s="2" t="s">
        <v>9</v>
      </c>
      <c r="H535" s="2" t="s">
        <v>90</v>
      </c>
      <c r="I535" s="2" t="s">
        <v>90</v>
      </c>
      <c r="J535" s="2" t="s">
        <v>19</v>
      </c>
      <c r="K535" s="2" t="s">
        <v>22</v>
      </c>
      <c r="L535" s="2">
        <v>3</v>
      </c>
      <c r="M535" s="2">
        <v>34172</v>
      </c>
      <c r="N535" s="2">
        <v>5</v>
      </c>
      <c r="O535" s="2">
        <v>97390.2</v>
      </c>
      <c r="P535" s="6">
        <v>7416.01</v>
      </c>
    </row>
    <row r="536" spans="1:16" x14ac:dyDescent="0.3">
      <c r="A536" s="5" t="s">
        <v>942</v>
      </c>
      <c r="B536" s="2" t="s">
        <v>363</v>
      </c>
      <c r="C536" s="2" t="str">
        <f t="shared" si="8"/>
        <v>October</v>
      </c>
      <c r="D536" s="2" t="s">
        <v>3</v>
      </c>
      <c r="E536" s="2" t="s">
        <v>117</v>
      </c>
      <c r="F536" s="2" t="s">
        <v>117</v>
      </c>
      <c r="G536" s="2" t="s">
        <v>9</v>
      </c>
      <c r="H536" s="2" t="s">
        <v>126</v>
      </c>
      <c r="I536" s="2" t="s">
        <v>126</v>
      </c>
      <c r="J536" s="2" t="s">
        <v>14</v>
      </c>
      <c r="K536" s="2" t="s">
        <v>21</v>
      </c>
      <c r="L536" s="2">
        <v>5</v>
      </c>
      <c r="M536" s="2">
        <v>42761</v>
      </c>
      <c r="N536" s="2">
        <v>5</v>
      </c>
      <c r="O536" s="2">
        <v>203114.75</v>
      </c>
      <c r="P536" s="6">
        <v>33342.269999999997</v>
      </c>
    </row>
    <row r="537" spans="1:16" x14ac:dyDescent="0.3">
      <c r="A537" s="5" t="s">
        <v>943</v>
      </c>
      <c r="B537" s="2" t="s">
        <v>944</v>
      </c>
      <c r="C537" s="2" t="str">
        <f t="shared" si="8"/>
        <v>July</v>
      </c>
      <c r="D537" s="2" t="s">
        <v>3</v>
      </c>
      <c r="E537" s="2" t="s">
        <v>117</v>
      </c>
      <c r="F537" s="2" t="s">
        <v>117</v>
      </c>
      <c r="G537" s="2" t="s">
        <v>9</v>
      </c>
      <c r="H537" s="2" t="s">
        <v>90</v>
      </c>
      <c r="I537" s="2" t="s">
        <v>90</v>
      </c>
      <c r="J537" s="2" t="s">
        <v>16</v>
      </c>
      <c r="K537" s="2" t="s">
        <v>21</v>
      </c>
      <c r="L537" s="2">
        <v>9</v>
      </c>
      <c r="M537" s="2">
        <v>28091</v>
      </c>
      <c r="N537" s="2">
        <v>0</v>
      </c>
      <c r="O537" s="2">
        <v>252819</v>
      </c>
      <c r="P537" s="6">
        <v>67918.259999999995</v>
      </c>
    </row>
    <row r="538" spans="1:16" x14ac:dyDescent="0.3">
      <c r="A538" s="5" t="s">
        <v>945</v>
      </c>
      <c r="B538" s="2" t="s">
        <v>206</v>
      </c>
      <c r="C538" s="2" t="str">
        <f t="shared" si="8"/>
        <v>May</v>
      </c>
      <c r="D538" s="2" t="s">
        <v>4</v>
      </c>
      <c r="E538" s="2" t="s">
        <v>67</v>
      </c>
      <c r="F538" s="2" t="s">
        <v>68</v>
      </c>
      <c r="G538" s="2" t="s">
        <v>9</v>
      </c>
      <c r="H538" s="2" t="s">
        <v>90</v>
      </c>
      <c r="I538" s="2" t="s">
        <v>90</v>
      </c>
      <c r="J538" s="2" t="s">
        <v>16</v>
      </c>
      <c r="K538" s="2" t="s">
        <v>22</v>
      </c>
      <c r="L538" s="2">
        <v>9</v>
      </c>
      <c r="M538" s="2">
        <v>19891</v>
      </c>
      <c r="N538" s="2">
        <v>0</v>
      </c>
      <c r="O538" s="2">
        <v>179019</v>
      </c>
      <c r="P538" s="6">
        <v>36633.79</v>
      </c>
    </row>
    <row r="539" spans="1:16" x14ac:dyDescent="0.3">
      <c r="A539" s="5" t="s">
        <v>946</v>
      </c>
      <c r="B539" s="2" t="s">
        <v>947</v>
      </c>
      <c r="C539" s="2" t="str">
        <f t="shared" si="8"/>
        <v>April</v>
      </c>
      <c r="D539" s="2" t="s">
        <v>4</v>
      </c>
      <c r="E539" s="2" t="s">
        <v>67</v>
      </c>
      <c r="F539" s="2" t="s">
        <v>68</v>
      </c>
      <c r="G539" s="2" t="s">
        <v>10</v>
      </c>
      <c r="H539" s="2" t="s">
        <v>69</v>
      </c>
      <c r="I539" s="2" t="s">
        <v>69</v>
      </c>
      <c r="J539" s="2" t="s">
        <v>13</v>
      </c>
      <c r="K539" s="2" t="s">
        <v>22</v>
      </c>
      <c r="L539" s="2">
        <v>6</v>
      </c>
      <c r="M539" s="2">
        <v>18469</v>
      </c>
      <c r="N539" s="2">
        <v>0</v>
      </c>
      <c r="O539" s="2">
        <v>110814</v>
      </c>
      <c r="P539" s="6">
        <v>23001.68</v>
      </c>
    </row>
    <row r="540" spans="1:16" x14ac:dyDescent="0.3">
      <c r="A540" s="5" t="s">
        <v>948</v>
      </c>
      <c r="B540" s="2" t="s">
        <v>123</v>
      </c>
      <c r="C540" s="2" t="str">
        <f t="shared" si="8"/>
        <v>March</v>
      </c>
      <c r="D540" s="2" t="s">
        <v>4</v>
      </c>
      <c r="E540" s="2" t="s">
        <v>62</v>
      </c>
      <c r="F540" s="2" t="s">
        <v>63</v>
      </c>
      <c r="G540" s="2" t="s">
        <v>9</v>
      </c>
      <c r="H540" s="2" t="s">
        <v>126</v>
      </c>
      <c r="I540" s="2" t="s">
        <v>126</v>
      </c>
      <c r="J540" s="2" t="s">
        <v>12</v>
      </c>
      <c r="K540" s="2" t="s">
        <v>21</v>
      </c>
      <c r="L540" s="2">
        <v>6</v>
      </c>
      <c r="M540" s="2">
        <v>33435</v>
      </c>
      <c r="N540" s="2">
        <v>20</v>
      </c>
      <c r="O540" s="2">
        <v>160488</v>
      </c>
      <c r="P540" s="6">
        <v>37384.51</v>
      </c>
    </row>
    <row r="541" spans="1:16" x14ac:dyDescent="0.3">
      <c r="A541" s="5" t="s">
        <v>949</v>
      </c>
      <c r="B541" s="2" t="s">
        <v>302</v>
      </c>
      <c r="C541" s="2" t="str">
        <f t="shared" si="8"/>
        <v>April</v>
      </c>
      <c r="D541" s="2" t="s">
        <v>4</v>
      </c>
      <c r="E541" s="2" t="s">
        <v>62</v>
      </c>
      <c r="F541" s="2" t="s">
        <v>63</v>
      </c>
      <c r="G541" s="2" t="s">
        <v>8</v>
      </c>
      <c r="H541" s="2" t="s">
        <v>76</v>
      </c>
      <c r="I541" s="2" t="s">
        <v>76</v>
      </c>
      <c r="J541" s="2" t="s">
        <v>12</v>
      </c>
      <c r="K541" s="2" t="s">
        <v>22</v>
      </c>
      <c r="L541" s="2">
        <v>10</v>
      </c>
      <c r="M541" s="2">
        <v>9921</v>
      </c>
      <c r="N541" s="2">
        <v>5</v>
      </c>
      <c r="O541" s="2">
        <v>94249.5</v>
      </c>
      <c r="P541" s="6">
        <v>9943.2099999999991</v>
      </c>
    </row>
    <row r="542" spans="1:16" x14ac:dyDescent="0.3">
      <c r="A542" s="5" t="s">
        <v>950</v>
      </c>
      <c r="B542" s="2" t="s">
        <v>516</v>
      </c>
      <c r="C542" s="2" t="str">
        <f t="shared" si="8"/>
        <v>April</v>
      </c>
      <c r="D542" s="2" t="s">
        <v>2</v>
      </c>
      <c r="E542" s="2" t="s">
        <v>103</v>
      </c>
      <c r="F542" s="2" t="s">
        <v>104</v>
      </c>
      <c r="G542" s="2" t="s">
        <v>10</v>
      </c>
      <c r="H542" s="2" t="s">
        <v>54</v>
      </c>
      <c r="I542" s="2" t="s">
        <v>54</v>
      </c>
      <c r="J542" s="2" t="s">
        <v>19</v>
      </c>
      <c r="K542" s="2" t="s">
        <v>22</v>
      </c>
      <c r="L542" s="2">
        <v>7</v>
      </c>
      <c r="M542" s="2">
        <v>39363</v>
      </c>
      <c r="N542" s="2">
        <v>15</v>
      </c>
      <c r="O542" s="2">
        <v>234209.85</v>
      </c>
      <c r="P542" s="6">
        <v>19744.02</v>
      </c>
    </row>
    <row r="543" spans="1:16" x14ac:dyDescent="0.3">
      <c r="A543" s="5" t="s">
        <v>951</v>
      </c>
      <c r="B543" s="2" t="s">
        <v>497</v>
      </c>
      <c r="C543" s="2" t="str">
        <f t="shared" si="8"/>
        <v>August</v>
      </c>
      <c r="D543" s="2" t="s">
        <v>5</v>
      </c>
      <c r="E543" s="2" t="s">
        <v>52</v>
      </c>
      <c r="F543" s="2" t="s">
        <v>53</v>
      </c>
      <c r="G543" s="2" t="s">
        <v>9</v>
      </c>
      <c r="H543" s="2" t="s">
        <v>126</v>
      </c>
      <c r="I543" s="2" t="s">
        <v>126</v>
      </c>
      <c r="J543" s="2" t="s">
        <v>18</v>
      </c>
      <c r="K543" s="2" t="s">
        <v>22</v>
      </c>
      <c r="L543" s="2">
        <v>4</v>
      </c>
      <c r="M543" s="2">
        <v>41132</v>
      </c>
      <c r="N543" s="2">
        <v>0</v>
      </c>
      <c r="O543" s="2">
        <v>164528</v>
      </c>
      <c r="P543" s="6">
        <v>45102.12</v>
      </c>
    </row>
    <row r="544" spans="1:16" x14ac:dyDescent="0.3">
      <c r="A544" s="5" t="s">
        <v>952</v>
      </c>
      <c r="B544" s="2" t="s">
        <v>74</v>
      </c>
      <c r="C544" s="2" t="str">
        <f t="shared" si="8"/>
        <v>March</v>
      </c>
      <c r="D544" s="2" t="s">
        <v>5</v>
      </c>
      <c r="E544" s="2" t="s">
        <v>57</v>
      </c>
      <c r="F544" s="2" t="s">
        <v>58</v>
      </c>
      <c r="G544" s="2" t="s">
        <v>8</v>
      </c>
      <c r="H544" s="2" t="s">
        <v>133</v>
      </c>
      <c r="I544" s="2" t="s">
        <v>133</v>
      </c>
      <c r="J544" s="2" t="s">
        <v>12</v>
      </c>
      <c r="K544" s="2" t="s">
        <v>21</v>
      </c>
      <c r="L544" s="2">
        <v>7</v>
      </c>
      <c r="M544" s="2">
        <v>7770</v>
      </c>
      <c r="N544" s="2">
        <v>0</v>
      </c>
      <c r="O544" s="2">
        <v>54390</v>
      </c>
      <c r="P544" s="6">
        <v>8110.69</v>
      </c>
    </row>
    <row r="545" spans="1:16" x14ac:dyDescent="0.3">
      <c r="A545" s="5" t="s">
        <v>953</v>
      </c>
      <c r="B545" s="2" t="s">
        <v>435</v>
      </c>
      <c r="C545" s="2" t="str">
        <f t="shared" si="8"/>
        <v>February</v>
      </c>
      <c r="D545" s="2" t="s">
        <v>3</v>
      </c>
      <c r="E545" s="2" t="s">
        <v>75</v>
      </c>
      <c r="F545" s="2" t="s">
        <v>75</v>
      </c>
      <c r="G545" s="2" t="s">
        <v>9</v>
      </c>
      <c r="H545" s="2" t="s">
        <v>90</v>
      </c>
      <c r="I545" s="2" t="s">
        <v>90</v>
      </c>
      <c r="J545" s="2" t="s">
        <v>19</v>
      </c>
      <c r="K545" s="2" t="s">
        <v>22</v>
      </c>
      <c r="L545" s="2">
        <v>4</v>
      </c>
      <c r="M545" s="2">
        <v>17157</v>
      </c>
      <c r="N545" s="2">
        <v>20</v>
      </c>
      <c r="O545" s="2">
        <v>54902.400000000001</v>
      </c>
      <c r="P545" s="6">
        <v>2868.57</v>
      </c>
    </row>
    <row r="546" spans="1:16" x14ac:dyDescent="0.3">
      <c r="A546" s="5" t="s">
        <v>954</v>
      </c>
      <c r="B546" s="2" t="s">
        <v>955</v>
      </c>
      <c r="C546" s="2" t="str">
        <f t="shared" si="8"/>
        <v>December</v>
      </c>
      <c r="D546" s="2" t="s">
        <v>2</v>
      </c>
      <c r="E546" s="2" t="s">
        <v>81</v>
      </c>
      <c r="F546" s="2" t="s">
        <v>82</v>
      </c>
      <c r="G546" s="2" t="s">
        <v>10</v>
      </c>
      <c r="H546" s="2" t="s">
        <v>54</v>
      </c>
      <c r="I546" s="2" t="s">
        <v>54</v>
      </c>
      <c r="J546" s="2" t="s">
        <v>19</v>
      </c>
      <c r="K546" s="2" t="s">
        <v>22</v>
      </c>
      <c r="L546" s="2">
        <v>2</v>
      </c>
      <c r="M546" s="2">
        <v>13069</v>
      </c>
      <c r="N546" s="2">
        <v>5</v>
      </c>
      <c r="O546" s="2">
        <v>24831.1</v>
      </c>
      <c r="P546" s="6">
        <v>3054.38</v>
      </c>
    </row>
    <row r="547" spans="1:16" x14ac:dyDescent="0.3">
      <c r="A547" s="5" t="s">
        <v>956</v>
      </c>
      <c r="B547" s="2" t="s">
        <v>583</v>
      </c>
      <c r="C547" s="2" t="str">
        <f t="shared" si="8"/>
        <v>December</v>
      </c>
      <c r="D547" s="2" t="s">
        <v>2</v>
      </c>
      <c r="E547" s="2" t="s">
        <v>103</v>
      </c>
      <c r="F547" s="2" t="s">
        <v>104</v>
      </c>
      <c r="G547" s="2" t="s">
        <v>8</v>
      </c>
      <c r="H547" s="2" t="s">
        <v>64</v>
      </c>
      <c r="I547" s="2" t="s">
        <v>64</v>
      </c>
      <c r="J547" s="2" t="s">
        <v>16</v>
      </c>
      <c r="K547" s="2" t="s">
        <v>22</v>
      </c>
      <c r="L547" s="2">
        <v>9</v>
      </c>
      <c r="M547" s="2">
        <v>7927</v>
      </c>
      <c r="N547" s="2">
        <v>10</v>
      </c>
      <c r="O547" s="2">
        <v>64208.7</v>
      </c>
      <c r="P547" s="6">
        <v>10177.6</v>
      </c>
    </row>
    <row r="548" spans="1:16" x14ac:dyDescent="0.3">
      <c r="A548" s="5" t="s">
        <v>957</v>
      </c>
      <c r="B548" s="2" t="s">
        <v>812</v>
      </c>
      <c r="C548" s="2" t="str">
        <f t="shared" si="8"/>
        <v>February</v>
      </c>
      <c r="D548" s="2" t="s">
        <v>5</v>
      </c>
      <c r="E548" s="2" t="s">
        <v>52</v>
      </c>
      <c r="F548" s="2" t="s">
        <v>53</v>
      </c>
      <c r="G548" s="2" t="s">
        <v>10</v>
      </c>
      <c r="H548" s="2" t="s">
        <v>69</v>
      </c>
      <c r="I548" s="2" t="s">
        <v>69</v>
      </c>
      <c r="J548" s="2" t="s">
        <v>12</v>
      </c>
      <c r="K548" s="2" t="s">
        <v>21</v>
      </c>
      <c r="L548" s="2">
        <v>8</v>
      </c>
      <c r="M548" s="2">
        <v>23877</v>
      </c>
      <c r="N548" s="2">
        <v>10</v>
      </c>
      <c r="O548" s="2">
        <v>171914.4</v>
      </c>
      <c r="P548" s="6">
        <v>11217.93</v>
      </c>
    </row>
    <row r="549" spans="1:16" x14ac:dyDescent="0.3">
      <c r="A549" s="5" t="s">
        <v>958</v>
      </c>
      <c r="B549" s="2" t="s">
        <v>673</v>
      </c>
      <c r="C549" s="2" t="str">
        <f t="shared" si="8"/>
        <v>February</v>
      </c>
      <c r="D549" s="2" t="s">
        <v>4</v>
      </c>
      <c r="E549" s="2" t="s">
        <v>67</v>
      </c>
      <c r="F549" s="2" t="s">
        <v>68</v>
      </c>
      <c r="G549" s="2" t="s">
        <v>10</v>
      </c>
      <c r="H549" s="2" t="s">
        <v>100</v>
      </c>
      <c r="I549" s="2" t="s">
        <v>100</v>
      </c>
      <c r="J549" s="2" t="s">
        <v>14</v>
      </c>
      <c r="K549" s="2" t="s">
        <v>22</v>
      </c>
      <c r="L549" s="2">
        <v>10</v>
      </c>
      <c r="M549" s="2">
        <v>27931</v>
      </c>
      <c r="N549" s="2">
        <v>0</v>
      </c>
      <c r="O549" s="2">
        <v>279310</v>
      </c>
      <c r="P549" s="6">
        <v>19454.52</v>
      </c>
    </row>
    <row r="550" spans="1:16" x14ac:dyDescent="0.3">
      <c r="A550" s="5" t="s">
        <v>959</v>
      </c>
      <c r="B550" s="2" t="s">
        <v>721</v>
      </c>
      <c r="C550" s="2" t="str">
        <f t="shared" si="8"/>
        <v>January</v>
      </c>
      <c r="D550" s="2" t="s">
        <v>5</v>
      </c>
      <c r="E550" s="2" t="s">
        <v>57</v>
      </c>
      <c r="F550" s="2" t="s">
        <v>58</v>
      </c>
      <c r="G550" s="2" t="s">
        <v>10</v>
      </c>
      <c r="H550" s="2" t="s">
        <v>54</v>
      </c>
      <c r="I550" s="2" t="s">
        <v>54</v>
      </c>
      <c r="J550" s="2" t="s">
        <v>15</v>
      </c>
      <c r="K550" s="2" t="s">
        <v>21</v>
      </c>
      <c r="L550" s="2">
        <v>8</v>
      </c>
      <c r="M550" s="2">
        <v>18871</v>
      </c>
      <c r="N550" s="2">
        <v>10</v>
      </c>
      <c r="O550" s="2">
        <v>135871.20000000001</v>
      </c>
      <c r="P550" s="6">
        <v>15939.88</v>
      </c>
    </row>
    <row r="551" spans="1:16" x14ac:dyDescent="0.3">
      <c r="A551" s="5" t="s">
        <v>960</v>
      </c>
      <c r="B551" s="2" t="s">
        <v>51</v>
      </c>
      <c r="C551" s="2" t="str">
        <f t="shared" si="8"/>
        <v>March</v>
      </c>
      <c r="D551" s="2" t="s">
        <v>2</v>
      </c>
      <c r="E551" s="2" t="s">
        <v>81</v>
      </c>
      <c r="F551" s="2" t="s">
        <v>82</v>
      </c>
      <c r="G551" s="2" t="s">
        <v>9</v>
      </c>
      <c r="H551" s="2" t="s">
        <v>72</v>
      </c>
      <c r="I551" s="2" t="s">
        <v>72</v>
      </c>
      <c r="J551" s="2" t="s">
        <v>12</v>
      </c>
      <c r="K551" s="2" t="s">
        <v>21</v>
      </c>
      <c r="L551" s="2">
        <v>8</v>
      </c>
      <c r="M551" s="2">
        <v>44257</v>
      </c>
      <c r="N551" s="2">
        <v>20</v>
      </c>
      <c r="O551" s="2">
        <v>283244.79999999999</v>
      </c>
      <c r="P551" s="6">
        <v>38895.96</v>
      </c>
    </row>
    <row r="552" spans="1:16" x14ac:dyDescent="0.3">
      <c r="A552" s="5" t="s">
        <v>961</v>
      </c>
      <c r="B552" s="2" t="s">
        <v>962</v>
      </c>
      <c r="C552" s="2" t="str">
        <f t="shared" si="8"/>
        <v>March</v>
      </c>
      <c r="D552" s="2" t="s">
        <v>2</v>
      </c>
      <c r="E552" s="2" t="s">
        <v>103</v>
      </c>
      <c r="F552" s="2" t="s">
        <v>104</v>
      </c>
      <c r="G552" s="2" t="s">
        <v>8</v>
      </c>
      <c r="H552" s="2" t="s">
        <v>64</v>
      </c>
      <c r="I552" s="2" t="s">
        <v>64</v>
      </c>
      <c r="J552" s="2" t="s">
        <v>19</v>
      </c>
      <c r="K552" s="2" t="s">
        <v>21</v>
      </c>
      <c r="L552" s="2">
        <v>1</v>
      </c>
      <c r="M552" s="2">
        <v>36641</v>
      </c>
      <c r="N552" s="2">
        <v>20</v>
      </c>
      <c r="O552" s="2">
        <v>29312.799999999999</v>
      </c>
      <c r="P552" s="6">
        <v>7011.79</v>
      </c>
    </row>
    <row r="553" spans="1:16" x14ac:dyDescent="0.3">
      <c r="A553" s="5" t="s">
        <v>963</v>
      </c>
      <c r="B553" s="2" t="s">
        <v>777</v>
      </c>
      <c r="C553" s="2" t="str">
        <f t="shared" si="8"/>
        <v>May</v>
      </c>
      <c r="D553" s="2" t="s">
        <v>3</v>
      </c>
      <c r="E553" s="2" t="s">
        <v>117</v>
      </c>
      <c r="F553" s="2" t="s">
        <v>117</v>
      </c>
      <c r="G553" s="2" t="s">
        <v>10</v>
      </c>
      <c r="H553" s="2" t="s">
        <v>100</v>
      </c>
      <c r="I553" s="2" t="s">
        <v>100</v>
      </c>
      <c r="J553" s="2" t="s">
        <v>19</v>
      </c>
      <c r="K553" s="2" t="s">
        <v>21</v>
      </c>
      <c r="L553" s="2">
        <v>6</v>
      </c>
      <c r="M553" s="2">
        <v>8476</v>
      </c>
      <c r="N553" s="2">
        <v>20</v>
      </c>
      <c r="O553" s="2">
        <v>40684.800000000003</v>
      </c>
      <c r="P553" s="6">
        <v>2666.81</v>
      </c>
    </row>
    <row r="554" spans="1:16" x14ac:dyDescent="0.3">
      <c r="A554" s="5" t="s">
        <v>964</v>
      </c>
      <c r="B554" s="2" t="s">
        <v>965</v>
      </c>
      <c r="C554" s="2" t="str">
        <f t="shared" si="8"/>
        <v>March</v>
      </c>
      <c r="D554" s="2" t="s">
        <v>5</v>
      </c>
      <c r="E554" s="2" t="s">
        <v>52</v>
      </c>
      <c r="F554" s="2" t="s">
        <v>53</v>
      </c>
      <c r="G554" s="2" t="s">
        <v>8</v>
      </c>
      <c r="H554" s="2" t="s">
        <v>76</v>
      </c>
      <c r="I554" s="2" t="s">
        <v>76</v>
      </c>
      <c r="J554" s="2" t="s">
        <v>14</v>
      </c>
      <c r="K554" s="2" t="s">
        <v>21</v>
      </c>
      <c r="L554" s="2">
        <v>6</v>
      </c>
      <c r="M554" s="2">
        <v>49886</v>
      </c>
      <c r="N554" s="2">
        <v>0</v>
      </c>
      <c r="O554" s="2">
        <v>299316</v>
      </c>
      <c r="P554" s="6">
        <v>84892.42</v>
      </c>
    </row>
    <row r="555" spans="1:16" x14ac:dyDescent="0.3">
      <c r="A555" s="5" t="s">
        <v>966</v>
      </c>
      <c r="B555" s="2" t="s">
        <v>150</v>
      </c>
      <c r="C555" s="2" t="str">
        <f t="shared" si="8"/>
        <v>January</v>
      </c>
      <c r="D555" s="2" t="s">
        <v>4</v>
      </c>
      <c r="E555" s="2" t="s">
        <v>62</v>
      </c>
      <c r="F555" s="2" t="s">
        <v>63</v>
      </c>
      <c r="G555" s="2" t="s">
        <v>8</v>
      </c>
      <c r="H555" s="2" t="s">
        <v>93</v>
      </c>
      <c r="I555" s="2" t="s">
        <v>93</v>
      </c>
      <c r="J555" s="2" t="s">
        <v>18</v>
      </c>
      <c r="K555" s="2" t="s">
        <v>21</v>
      </c>
      <c r="L555" s="2">
        <v>10</v>
      </c>
      <c r="M555" s="2">
        <v>33545</v>
      </c>
      <c r="N555" s="2">
        <v>15</v>
      </c>
      <c r="O555" s="2">
        <v>285132.5</v>
      </c>
      <c r="P555" s="6">
        <v>60638.07</v>
      </c>
    </row>
    <row r="556" spans="1:16" x14ac:dyDescent="0.3">
      <c r="A556" s="5" t="s">
        <v>967</v>
      </c>
      <c r="B556" s="2" t="s">
        <v>682</v>
      </c>
      <c r="C556" s="2" t="str">
        <f t="shared" si="8"/>
        <v>December</v>
      </c>
      <c r="D556" s="2" t="s">
        <v>2</v>
      </c>
      <c r="E556" s="2" t="s">
        <v>103</v>
      </c>
      <c r="F556" s="2" t="s">
        <v>104</v>
      </c>
      <c r="G556" s="2" t="s">
        <v>8</v>
      </c>
      <c r="H556" s="2" t="s">
        <v>133</v>
      </c>
      <c r="I556" s="2" t="s">
        <v>133</v>
      </c>
      <c r="J556" s="2" t="s">
        <v>15</v>
      </c>
      <c r="K556" s="2" t="s">
        <v>21</v>
      </c>
      <c r="L556" s="2">
        <v>5</v>
      </c>
      <c r="M556" s="2">
        <v>5446</v>
      </c>
      <c r="N556" s="2">
        <v>15</v>
      </c>
      <c r="O556" s="2">
        <v>23145.5</v>
      </c>
      <c r="P556" s="6">
        <v>2574.7800000000002</v>
      </c>
    </row>
    <row r="557" spans="1:16" x14ac:dyDescent="0.3">
      <c r="A557" s="5" t="s">
        <v>968</v>
      </c>
      <c r="B557" s="2" t="s">
        <v>969</v>
      </c>
      <c r="C557" s="2" t="str">
        <f t="shared" si="8"/>
        <v>July</v>
      </c>
      <c r="D557" s="2" t="s">
        <v>3</v>
      </c>
      <c r="E557" s="2" t="s">
        <v>117</v>
      </c>
      <c r="F557" s="2" t="s">
        <v>117</v>
      </c>
      <c r="G557" s="2" t="s">
        <v>10</v>
      </c>
      <c r="H557" s="2" t="s">
        <v>69</v>
      </c>
      <c r="I557" s="2" t="s">
        <v>69</v>
      </c>
      <c r="J557" s="2" t="s">
        <v>13</v>
      </c>
      <c r="K557" s="2" t="s">
        <v>21</v>
      </c>
      <c r="L557" s="2">
        <v>8</v>
      </c>
      <c r="M557" s="2">
        <v>28138</v>
      </c>
      <c r="N557" s="2">
        <v>5</v>
      </c>
      <c r="O557" s="2">
        <v>213848.8</v>
      </c>
      <c r="P557" s="6">
        <v>16580.87</v>
      </c>
    </row>
    <row r="558" spans="1:16" x14ac:dyDescent="0.3">
      <c r="A558" s="5" t="s">
        <v>970</v>
      </c>
      <c r="B558" s="2" t="s">
        <v>971</v>
      </c>
      <c r="C558" s="2" t="str">
        <f t="shared" si="8"/>
        <v>October</v>
      </c>
      <c r="D558" s="2" t="s">
        <v>3</v>
      </c>
      <c r="E558" s="2" t="s">
        <v>117</v>
      </c>
      <c r="F558" s="2" t="s">
        <v>117</v>
      </c>
      <c r="G558" s="2" t="s">
        <v>8</v>
      </c>
      <c r="H558" s="2" t="s">
        <v>64</v>
      </c>
      <c r="I558" s="2" t="s">
        <v>64</v>
      </c>
      <c r="J558" s="2" t="s">
        <v>14</v>
      </c>
      <c r="K558" s="2" t="s">
        <v>22</v>
      </c>
      <c r="L558" s="2">
        <v>8</v>
      </c>
      <c r="M558" s="2">
        <v>8816</v>
      </c>
      <c r="N558" s="2">
        <v>0</v>
      </c>
      <c r="O558" s="2">
        <v>70528</v>
      </c>
      <c r="P558" s="6">
        <v>12080.56</v>
      </c>
    </row>
    <row r="559" spans="1:16" x14ac:dyDescent="0.3">
      <c r="A559" s="5" t="s">
        <v>972</v>
      </c>
      <c r="B559" s="2" t="s">
        <v>973</v>
      </c>
      <c r="C559" s="2" t="str">
        <f t="shared" si="8"/>
        <v>April</v>
      </c>
      <c r="D559" s="2" t="s">
        <v>4</v>
      </c>
      <c r="E559" s="2" t="s">
        <v>67</v>
      </c>
      <c r="F559" s="2" t="s">
        <v>68</v>
      </c>
      <c r="G559" s="2" t="s">
        <v>8</v>
      </c>
      <c r="H559" s="2" t="s">
        <v>93</v>
      </c>
      <c r="I559" s="2" t="s">
        <v>93</v>
      </c>
      <c r="J559" s="2" t="s">
        <v>13</v>
      </c>
      <c r="K559" s="2" t="s">
        <v>22</v>
      </c>
      <c r="L559" s="2">
        <v>5</v>
      </c>
      <c r="M559" s="2">
        <v>36098</v>
      </c>
      <c r="N559" s="2">
        <v>20</v>
      </c>
      <c r="O559" s="2">
        <v>144392</v>
      </c>
      <c r="P559" s="6">
        <v>21891.03</v>
      </c>
    </row>
    <row r="560" spans="1:16" x14ac:dyDescent="0.3">
      <c r="A560" s="5" t="s">
        <v>974</v>
      </c>
      <c r="B560" s="2" t="s">
        <v>975</v>
      </c>
      <c r="C560" s="2" t="str">
        <f t="shared" si="8"/>
        <v>May</v>
      </c>
      <c r="D560" s="2" t="s">
        <v>2</v>
      </c>
      <c r="E560" s="2" t="s">
        <v>103</v>
      </c>
      <c r="F560" s="2" t="s">
        <v>104</v>
      </c>
      <c r="G560" s="2" t="s">
        <v>8</v>
      </c>
      <c r="H560" s="2" t="s">
        <v>93</v>
      </c>
      <c r="I560" s="2" t="s">
        <v>93</v>
      </c>
      <c r="J560" s="2" t="s">
        <v>14</v>
      </c>
      <c r="K560" s="2" t="s">
        <v>21</v>
      </c>
      <c r="L560" s="2">
        <v>10</v>
      </c>
      <c r="M560" s="2">
        <v>43159</v>
      </c>
      <c r="N560" s="2">
        <v>20</v>
      </c>
      <c r="O560" s="2">
        <v>345272</v>
      </c>
      <c r="P560" s="6">
        <v>36765.14</v>
      </c>
    </row>
    <row r="561" spans="1:16" x14ac:dyDescent="0.3">
      <c r="A561" s="5" t="s">
        <v>976</v>
      </c>
      <c r="B561" s="2" t="s">
        <v>850</v>
      </c>
      <c r="C561" s="2" t="str">
        <f t="shared" si="8"/>
        <v>February</v>
      </c>
      <c r="D561" s="2" t="s">
        <v>5</v>
      </c>
      <c r="E561" s="2" t="s">
        <v>52</v>
      </c>
      <c r="F561" s="2" t="s">
        <v>53</v>
      </c>
      <c r="G561" s="2" t="s">
        <v>10</v>
      </c>
      <c r="H561" s="2" t="s">
        <v>100</v>
      </c>
      <c r="I561" s="2" t="s">
        <v>100</v>
      </c>
      <c r="J561" s="2" t="s">
        <v>18</v>
      </c>
      <c r="K561" s="2" t="s">
        <v>22</v>
      </c>
      <c r="L561" s="2">
        <v>2</v>
      </c>
      <c r="M561" s="2">
        <v>7341</v>
      </c>
      <c r="N561" s="2">
        <v>20</v>
      </c>
      <c r="O561" s="2">
        <v>11745.6</v>
      </c>
      <c r="P561" s="6">
        <v>2406.06</v>
      </c>
    </row>
    <row r="562" spans="1:16" x14ac:dyDescent="0.3">
      <c r="A562" s="5" t="s">
        <v>977</v>
      </c>
      <c r="B562" s="2" t="s">
        <v>464</v>
      </c>
      <c r="C562" s="2" t="str">
        <f t="shared" si="8"/>
        <v>May</v>
      </c>
      <c r="D562" s="2" t="s">
        <v>4</v>
      </c>
      <c r="E562" s="2" t="s">
        <v>62</v>
      </c>
      <c r="F562" s="2" t="s">
        <v>63</v>
      </c>
      <c r="G562" s="2" t="s">
        <v>8</v>
      </c>
      <c r="H562" s="2" t="s">
        <v>93</v>
      </c>
      <c r="I562" s="2" t="s">
        <v>93</v>
      </c>
      <c r="J562" s="2" t="s">
        <v>16</v>
      </c>
      <c r="K562" s="2" t="s">
        <v>22</v>
      </c>
      <c r="L562" s="2">
        <v>5</v>
      </c>
      <c r="M562" s="2">
        <v>19068</v>
      </c>
      <c r="N562" s="2">
        <v>0</v>
      </c>
      <c r="O562" s="2">
        <v>95340</v>
      </c>
      <c r="P562" s="6">
        <v>4982.71</v>
      </c>
    </row>
    <row r="563" spans="1:16" x14ac:dyDescent="0.3">
      <c r="A563" s="5" t="s">
        <v>978</v>
      </c>
      <c r="B563" s="2" t="s">
        <v>979</v>
      </c>
      <c r="C563" s="2" t="str">
        <f t="shared" si="8"/>
        <v>August</v>
      </c>
      <c r="D563" s="2" t="s">
        <v>3</v>
      </c>
      <c r="E563" s="2" t="s">
        <v>75</v>
      </c>
      <c r="F563" s="2" t="s">
        <v>75</v>
      </c>
      <c r="G563" s="2" t="s">
        <v>10</v>
      </c>
      <c r="H563" s="2" t="s">
        <v>54</v>
      </c>
      <c r="I563" s="2" t="s">
        <v>54</v>
      </c>
      <c r="J563" s="2" t="s">
        <v>12</v>
      </c>
      <c r="K563" s="2" t="s">
        <v>21</v>
      </c>
      <c r="L563" s="2">
        <v>2</v>
      </c>
      <c r="M563" s="2">
        <v>28995</v>
      </c>
      <c r="N563" s="2">
        <v>0</v>
      </c>
      <c r="O563" s="2">
        <v>57990</v>
      </c>
      <c r="P563" s="6">
        <v>11194.76</v>
      </c>
    </row>
    <row r="564" spans="1:16" x14ac:dyDescent="0.3">
      <c r="A564" s="5" t="s">
        <v>980</v>
      </c>
      <c r="B564" s="2" t="s">
        <v>981</v>
      </c>
      <c r="C564" s="2" t="str">
        <f t="shared" si="8"/>
        <v>May</v>
      </c>
      <c r="D564" s="2" t="s">
        <v>4</v>
      </c>
      <c r="E564" s="2" t="s">
        <v>62</v>
      </c>
      <c r="F564" s="2" t="s">
        <v>63</v>
      </c>
      <c r="G564" s="2" t="s">
        <v>10</v>
      </c>
      <c r="H564" s="2" t="s">
        <v>100</v>
      </c>
      <c r="I564" s="2" t="s">
        <v>100</v>
      </c>
      <c r="J564" s="2" t="s">
        <v>14</v>
      </c>
      <c r="K564" s="2" t="s">
        <v>21</v>
      </c>
      <c r="L564" s="2">
        <v>10</v>
      </c>
      <c r="M564" s="2">
        <v>10339</v>
      </c>
      <c r="N564" s="2">
        <v>15</v>
      </c>
      <c r="O564" s="2">
        <v>87881.5</v>
      </c>
      <c r="P564" s="6">
        <v>9822.7199999999993</v>
      </c>
    </row>
    <row r="565" spans="1:16" x14ac:dyDescent="0.3">
      <c r="A565" s="5" t="s">
        <v>982</v>
      </c>
      <c r="B565" s="2" t="s">
        <v>983</v>
      </c>
      <c r="C565" s="2" t="str">
        <f t="shared" si="8"/>
        <v>November</v>
      </c>
      <c r="D565" s="2" t="s">
        <v>3</v>
      </c>
      <c r="E565" s="2" t="s">
        <v>117</v>
      </c>
      <c r="F565" s="2" t="s">
        <v>117</v>
      </c>
      <c r="G565" s="2" t="s">
        <v>8</v>
      </c>
      <c r="H565" s="2" t="s">
        <v>133</v>
      </c>
      <c r="I565" s="2" t="s">
        <v>133</v>
      </c>
      <c r="J565" s="2" t="s">
        <v>16</v>
      </c>
      <c r="K565" s="2" t="s">
        <v>21</v>
      </c>
      <c r="L565" s="2">
        <v>1</v>
      </c>
      <c r="M565" s="2">
        <v>26207</v>
      </c>
      <c r="N565" s="2">
        <v>15</v>
      </c>
      <c r="O565" s="2">
        <v>22275.95</v>
      </c>
      <c r="P565" s="6">
        <v>6664.5</v>
      </c>
    </row>
    <row r="566" spans="1:16" x14ac:dyDescent="0.3">
      <c r="A566" s="5" t="s">
        <v>984</v>
      </c>
      <c r="B566" s="2" t="s">
        <v>985</v>
      </c>
      <c r="C566" s="2" t="str">
        <f t="shared" si="8"/>
        <v>September</v>
      </c>
      <c r="D566" s="2" t="s">
        <v>5</v>
      </c>
      <c r="E566" s="2" t="s">
        <v>57</v>
      </c>
      <c r="F566" s="2" t="s">
        <v>58</v>
      </c>
      <c r="G566" s="2" t="s">
        <v>8</v>
      </c>
      <c r="H566" s="2" t="s">
        <v>133</v>
      </c>
      <c r="I566" s="2" t="s">
        <v>133</v>
      </c>
      <c r="J566" s="2" t="s">
        <v>15</v>
      </c>
      <c r="K566" s="2" t="s">
        <v>21</v>
      </c>
      <c r="L566" s="2">
        <v>2</v>
      </c>
      <c r="M566" s="2">
        <v>32371</v>
      </c>
      <c r="N566" s="2">
        <v>20</v>
      </c>
      <c r="O566" s="2">
        <v>51793.599999999999</v>
      </c>
      <c r="P566" s="6">
        <v>6402.77</v>
      </c>
    </row>
    <row r="567" spans="1:16" x14ac:dyDescent="0.3">
      <c r="A567" s="5" t="s">
        <v>986</v>
      </c>
      <c r="B567" s="2" t="s">
        <v>987</v>
      </c>
      <c r="C567" s="2" t="str">
        <f t="shared" si="8"/>
        <v>March</v>
      </c>
      <c r="D567" s="2" t="s">
        <v>4</v>
      </c>
      <c r="E567" s="2" t="s">
        <v>62</v>
      </c>
      <c r="F567" s="2" t="s">
        <v>63</v>
      </c>
      <c r="G567" s="2" t="s">
        <v>10</v>
      </c>
      <c r="H567" s="2" t="s">
        <v>54</v>
      </c>
      <c r="I567" s="2" t="s">
        <v>54</v>
      </c>
      <c r="J567" s="2" t="s">
        <v>16</v>
      </c>
      <c r="K567" s="2" t="s">
        <v>22</v>
      </c>
      <c r="L567" s="2">
        <v>6</v>
      </c>
      <c r="M567" s="2">
        <v>16503</v>
      </c>
      <c r="N567" s="2">
        <v>20</v>
      </c>
      <c r="O567" s="2">
        <v>79214.399999999994</v>
      </c>
      <c r="P567" s="6">
        <v>9273.74</v>
      </c>
    </row>
    <row r="568" spans="1:16" x14ac:dyDescent="0.3">
      <c r="A568" s="5" t="s">
        <v>988</v>
      </c>
      <c r="B568" s="2" t="s">
        <v>825</v>
      </c>
      <c r="C568" s="2" t="str">
        <f t="shared" si="8"/>
        <v>June</v>
      </c>
      <c r="D568" s="2" t="s">
        <v>3</v>
      </c>
      <c r="E568" s="2" t="s">
        <v>75</v>
      </c>
      <c r="F568" s="2" t="s">
        <v>75</v>
      </c>
      <c r="G568" s="2" t="s">
        <v>9</v>
      </c>
      <c r="H568" s="2" t="s">
        <v>126</v>
      </c>
      <c r="I568" s="2" t="s">
        <v>126</v>
      </c>
      <c r="J568" s="2" t="s">
        <v>15</v>
      </c>
      <c r="K568" s="2" t="s">
        <v>21</v>
      </c>
      <c r="L568" s="2">
        <v>7</v>
      </c>
      <c r="M568" s="2">
        <v>27178</v>
      </c>
      <c r="N568" s="2">
        <v>0</v>
      </c>
      <c r="O568" s="2">
        <v>190246</v>
      </c>
      <c r="P568" s="6">
        <v>24619.18</v>
      </c>
    </row>
    <row r="569" spans="1:16" x14ac:dyDescent="0.3">
      <c r="A569" s="5" t="s">
        <v>989</v>
      </c>
      <c r="B569" s="2" t="s">
        <v>903</v>
      </c>
      <c r="C569" s="2" t="str">
        <f t="shared" si="8"/>
        <v>May</v>
      </c>
      <c r="D569" s="2" t="s">
        <v>3</v>
      </c>
      <c r="E569" s="2" t="s">
        <v>75</v>
      </c>
      <c r="F569" s="2" t="s">
        <v>75</v>
      </c>
      <c r="G569" s="2" t="s">
        <v>9</v>
      </c>
      <c r="H569" s="2" t="s">
        <v>126</v>
      </c>
      <c r="I569" s="2" t="s">
        <v>126</v>
      </c>
      <c r="J569" s="2" t="s">
        <v>18</v>
      </c>
      <c r="K569" s="2" t="s">
        <v>22</v>
      </c>
      <c r="L569" s="2">
        <v>3</v>
      </c>
      <c r="M569" s="2">
        <v>23420</v>
      </c>
      <c r="N569" s="2">
        <v>15</v>
      </c>
      <c r="O569" s="2">
        <v>59721</v>
      </c>
      <c r="P569" s="6">
        <v>13730.62</v>
      </c>
    </row>
    <row r="570" spans="1:16" x14ac:dyDescent="0.3">
      <c r="A570" s="5" t="s">
        <v>990</v>
      </c>
      <c r="B570" s="2" t="s">
        <v>991</v>
      </c>
      <c r="C570" s="2" t="str">
        <f t="shared" si="8"/>
        <v>April</v>
      </c>
      <c r="D570" s="2" t="s">
        <v>4</v>
      </c>
      <c r="E570" s="2" t="s">
        <v>62</v>
      </c>
      <c r="F570" s="2" t="s">
        <v>63</v>
      </c>
      <c r="G570" s="2" t="s">
        <v>9</v>
      </c>
      <c r="H570" s="2" t="s">
        <v>90</v>
      </c>
      <c r="I570" s="2" t="s">
        <v>90</v>
      </c>
      <c r="J570" s="2" t="s">
        <v>12</v>
      </c>
      <c r="K570" s="2" t="s">
        <v>21</v>
      </c>
      <c r="L570" s="2">
        <v>8</v>
      </c>
      <c r="M570" s="2">
        <v>41470</v>
      </c>
      <c r="N570" s="2">
        <v>5</v>
      </c>
      <c r="O570" s="2">
        <v>315172</v>
      </c>
      <c r="P570" s="6">
        <v>71374.850000000006</v>
      </c>
    </row>
    <row r="571" spans="1:16" x14ac:dyDescent="0.3">
      <c r="A571" s="5" t="s">
        <v>992</v>
      </c>
      <c r="B571" s="2" t="s">
        <v>268</v>
      </c>
      <c r="C571" s="2" t="str">
        <f t="shared" si="8"/>
        <v>November</v>
      </c>
      <c r="D571" s="2" t="s">
        <v>4</v>
      </c>
      <c r="E571" s="2" t="s">
        <v>62</v>
      </c>
      <c r="F571" s="2" t="s">
        <v>63</v>
      </c>
      <c r="G571" s="2" t="s">
        <v>9</v>
      </c>
      <c r="H571" s="2" t="s">
        <v>59</v>
      </c>
      <c r="I571" s="2" t="s">
        <v>59</v>
      </c>
      <c r="J571" s="2" t="s">
        <v>13</v>
      </c>
      <c r="K571" s="2" t="s">
        <v>21</v>
      </c>
      <c r="L571" s="2">
        <v>9</v>
      </c>
      <c r="M571" s="2">
        <v>25707</v>
      </c>
      <c r="N571" s="2">
        <v>0</v>
      </c>
      <c r="O571" s="2">
        <v>231363</v>
      </c>
      <c r="P571" s="6">
        <v>26209.34</v>
      </c>
    </row>
    <row r="572" spans="1:16" x14ac:dyDescent="0.3">
      <c r="A572" s="5" t="s">
        <v>993</v>
      </c>
      <c r="B572" s="2" t="s">
        <v>994</v>
      </c>
      <c r="C572" s="2" t="str">
        <f t="shared" si="8"/>
        <v>June</v>
      </c>
      <c r="D572" s="2" t="s">
        <v>4</v>
      </c>
      <c r="E572" s="2" t="s">
        <v>62</v>
      </c>
      <c r="F572" s="2" t="s">
        <v>63</v>
      </c>
      <c r="G572" s="2" t="s">
        <v>9</v>
      </c>
      <c r="H572" s="2" t="s">
        <v>90</v>
      </c>
      <c r="I572" s="2" t="s">
        <v>90</v>
      </c>
      <c r="J572" s="2" t="s">
        <v>17</v>
      </c>
      <c r="K572" s="2" t="s">
        <v>22</v>
      </c>
      <c r="L572" s="2">
        <v>8</v>
      </c>
      <c r="M572" s="2">
        <v>20531</v>
      </c>
      <c r="N572" s="2">
        <v>10</v>
      </c>
      <c r="O572" s="2">
        <v>147823.20000000001</v>
      </c>
      <c r="P572" s="6">
        <v>13000.73</v>
      </c>
    </row>
    <row r="573" spans="1:16" x14ac:dyDescent="0.3">
      <c r="A573" s="5" t="s">
        <v>995</v>
      </c>
      <c r="B573" s="2" t="s">
        <v>102</v>
      </c>
      <c r="C573" s="2" t="str">
        <f t="shared" si="8"/>
        <v>February</v>
      </c>
      <c r="D573" s="2" t="s">
        <v>2</v>
      </c>
      <c r="E573" s="2" t="s">
        <v>103</v>
      </c>
      <c r="F573" s="2" t="s">
        <v>104</v>
      </c>
      <c r="G573" s="2" t="s">
        <v>9</v>
      </c>
      <c r="H573" s="2" t="s">
        <v>126</v>
      </c>
      <c r="I573" s="2" t="s">
        <v>126</v>
      </c>
      <c r="J573" s="2" t="s">
        <v>15</v>
      </c>
      <c r="K573" s="2" t="s">
        <v>22</v>
      </c>
      <c r="L573" s="2">
        <v>4</v>
      </c>
      <c r="M573" s="2">
        <v>11893</v>
      </c>
      <c r="N573" s="2">
        <v>20</v>
      </c>
      <c r="O573" s="2">
        <v>38057.599999999999</v>
      </c>
      <c r="P573" s="6">
        <v>3541.95</v>
      </c>
    </row>
    <row r="574" spans="1:16" x14ac:dyDescent="0.3">
      <c r="A574" s="5" t="s">
        <v>996</v>
      </c>
      <c r="B574" s="2" t="s">
        <v>710</v>
      </c>
      <c r="C574" s="2" t="str">
        <f t="shared" si="8"/>
        <v>September</v>
      </c>
      <c r="D574" s="2" t="s">
        <v>2</v>
      </c>
      <c r="E574" s="2" t="s">
        <v>103</v>
      </c>
      <c r="F574" s="2" t="s">
        <v>104</v>
      </c>
      <c r="G574" s="2" t="s">
        <v>9</v>
      </c>
      <c r="H574" s="2" t="s">
        <v>72</v>
      </c>
      <c r="I574" s="2" t="s">
        <v>72</v>
      </c>
      <c r="J574" s="2" t="s">
        <v>19</v>
      </c>
      <c r="K574" s="2" t="s">
        <v>21</v>
      </c>
      <c r="L574" s="2">
        <v>4</v>
      </c>
      <c r="M574" s="2">
        <v>34214</v>
      </c>
      <c r="N574" s="2">
        <v>5</v>
      </c>
      <c r="O574" s="2">
        <v>130013.2</v>
      </c>
      <c r="P574" s="6">
        <v>20959.599999999999</v>
      </c>
    </row>
    <row r="575" spans="1:16" x14ac:dyDescent="0.3">
      <c r="A575" s="5" t="s">
        <v>997</v>
      </c>
      <c r="B575" s="2" t="s">
        <v>581</v>
      </c>
      <c r="C575" s="2" t="str">
        <f t="shared" si="8"/>
        <v>June</v>
      </c>
      <c r="D575" s="2" t="s">
        <v>2</v>
      </c>
      <c r="E575" s="2" t="s">
        <v>103</v>
      </c>
      <c r="F575" s="2" t="s">
        <v>104</v>
      </c>
      <c r="G575" s="2" t="s">
        <v>8</v>
      </c>
      <c r="H575" s="2" t="s">
        <v>64</v>
      </c>
      <c r="I575" s="2" t="s">
        <v>64</v>
      </c>
      <c r="J575" s="2" t="s">
        <v>14</v>
      </c>
      <c r="K575" s="2" t="s">
        <v>22</v>
      </c>
      <c r="L575" s="2">
        <v>4</v>
      </c>
      <c r="M575" s="2">
        <v>30319</v>
      </c>
      <c r="N575" s="2">
        <v>5</v>
      </c>
      <c r="O575" s="2">
        <v>115212.2</v>
      </c>
      <c r="P575" s="6">
        <v>23285.91</v>
      </c>
    </row>
    <row r="576" spans="1:16" x14ac:dyDescent="0.3">
      <c r="A576" s="5" t="s">
        <v>998</v>
      </c>
      <c r="B576" s="2" t="s">
        <v>266</v>
      </c>
      <c r="C576" s="2" t="str">
        <f t="shared" si="8"/>
        <v>October</v>
      </c>
      <c r="D576" s="2" t="s">
        <v>4</v>
      </c>
      <c r="E576" s="2" t="s">
        <v>62</v>
      </c>
      <c r="F576" s="2" t="s">
        <v>63</v>
      </c>
      <c r="G576" s="2" t="s">
        <v>8</v>
      </c>
      <c r="H576" s="2" t="s">
        <v>76</v>
      </c>
      <c r="I576" s="2" t="s">
        <v>76</v>
      </c>
      <c r="J576" s="2" t="s">
        <v>15</v>
      </c>
      <c r="K576" s="2" t="s">
        <v>21</v>
      </c>
      <c r="L576" s="2">
        <v>2</v>
      </c>
      <c r="M576" s="2">
        <v>48205</v>
      </c>
      <c r="N576" s="2">
        <v>20</v>
      </c>
      <c r="O576" s="2">
        <v>77128</v>
      </c>
      <c r="P576" s="6">
        <v>12188.76</v>
      </c>
    </row>
    <row r="577" spans="1:16" x14ac:dyDescent="0.3">
      <c r="A577" s="5" t="s">
        <v>999</v>
      </c>
      <c r="B577" s="2" t="s">
        <v>297</v>
      </c>
      <c r="C577" s="2" t="str">
        <f t="shared" si="8"/>
        <v>May</v>
      </c>
      <c r="D577" s="2" t="s">
        <v>5</v>
      </c>
      <c r="E577" s="2" t="s">
        <v>52</v>
      </c>
      <c r="F577" s="2" t="s">
        <v>53</v>
      </c>
      <c r="G577" s="2" t="s">
        <v>9</v>
      </c>
      <c r="H577" s="2" t="s">
        <v>72</v>
      </c>
      <c r="I577" s="2" t="s">
        <v>72</v>
      </c>
      <c r="J577" s="2" t="s">
        <v>17</v>
      </c>
      <c r="K577" s="2" t="s">
        <v>22</v>
      </c>
      <c r="L577" s="2">
        <v>5</v>
      </c>
      <c r="M577" s="2">
        <v>12088</v>
      </c>
      <c r="N577" s="2">
        <v>15</v>
      </c>
      <c r="O577" s="2">
        <v>51374</v>
      </c>
      <c r="P577" s="6">
        <v>4460.21</v>
      </c>
    </row>
    <row r="578" spans="1:16" x14ac:dyDescent="0.3">
      <c r="A578" s="5" t="s">
        <v>1000</v>
      </c>
      <c r="B578" s="2" t="s">
        <v>1001</v>
      </c>
      <c r="C578" s="2" t="str">
        <f t="shared" si="8"/>
        <v>January</v>
      </c>
      <c r="D578" s="2" t="s">
        <v>4</v>
      </c>
      <c r="E578" s="2" t="s">
        <v>62</v>
      </c>
      <c r="F578" s="2" t="s">
        <v>63</v>
      </c>
      <c r="G578" s="2" t="s">
        <v>9</v>
      </c>
      <c r="H578" s="2" t="s">
        <v>72</v>
      </c>
      <c r="I578" s="2" t="s">
        <v>72</v>
      </c>
      <c r="J578" s="2" t="s">
        <v>16</v>
      </c>
      <c r="K578" s="2" t="s">
        <v>21</v>
      </c>
      <c r="L578" s="2">
        <v>2</v>
      </c>
      <c r="M578" s="2">
        <v>13277</v>
      </c>
      <c r="N578" s="2">
        <v>10</v>
      </c>
      <c r="O578" s="2">
        <v>23898.6</v>
      </c>
      <c r="P578" s="6">
        <v>4587.53</v>
      </c>
    </row>
    <row r="579" spans="1:16" x14ac:dyDescent="0.3">
      <c r="A579" s="5" t="s">
        <v>1002</v>
      </c>
      <c r="B579" s="2" t="s">
        <v>706</v>
      </c>
      <c r="C579" s="2" t="str">
        <f t="shared" ref="C579:C642" si="9">TEXT(B579,"mmmm")</f>
        <v>September</v>
      </c>
      <c r="D579" s="2" t="s">
        <v>4</v>
      </c>
      <c r="E579" s="2" t="s">
        <v>67</v>
      </c>
      <c r="F579" s="2" t="s">
        <v>68</v>
      </c>
      <c r="G579" s="2" t="s">
        <v>10</v>
      </c>
      <c r="H579" s="2" t="s">
        <v>100</v>
      </c>
      <c r="I579" s="2" t="s">
        <v>100</v>
      </c>
      <c r="J579" s="2" t="s">
        <v>14</v>
      </c>
      <c r="K579" s="2" t="s">
        <v>21</v>
      </c>
      <c r="L579" s="2">
        <v>9</v>
      </c>
      <c r="M579" s="2">
        <v>49735</v>
      </c>
      <c r="N579" s="2">
        <v>5</v>
      </c>
      <c r="O579" s="2">
        <v>425234.25</v>
      </c>
      <c r="P579" s="6">
        <v>62413.99</v>
      </c>
    </row>
    <row r="580" spans="1:16" x14ac:dyDescent="0.3">
      <c r="A580" s="5" t="s">
        <v>1003</v>
      </c>
      <c r="B580" s="2" t="s">
        <v>1004</v>
      </c>
      <c r="C580" s="2" t="str">
        <f t="shared" si="9"/>
        <v>May</v>
      </c>
      <c r="D580" s="2" t="s">
        <v>3</v>
      </c>
      <c r="E580" s="2" t="s">
        <v>75</v>
      </c>
      <c r="F580" s="2" t="s">
        <v>75</v>
      </c>
      <c r="G580" s="2" t="s">
        <v>9</v>
      </c>
      <c r="H580" s="2" t="s">
        <v>59</v>
      </c>
      <c r="I580" s="2" t="s">
        <v>59</v>
      </c>
      <c r="J580" s="2" t="s">
        <v>16</v>
      </c>
      <c r="K580" s="2" t="s">
        <v>21</v>
      </c>
      <c r="L580" s="2">
        <v>8</v>
      </c>
      <c r="M580" s="2">
        <v>45458</v>
      </c>
      <c r="N580" s="2">
        <v>5</v>
      </c>
      <c r="O580" s="2">
        <v>345480.8</v>
      </c>
      <c r="P580" s="6">
        <v>27904.19</v>
      </c>
    </row>
    <row r="581" spans="1:16" x14ac:dyDescent="0.3">
      <c r="A581" s="5" t="s">
        <v>1005</v>
      </c>
      <c r="B581" s="2" t="s">
        <v>630</v>
      </c>
      <c r="C581" s="2" t="str">
        <f t="shared" si="9"/>
        <v>February</v>
      </c>
      <c r="D581" s="2" t="s">
        <v>2</v>
      </c>
      <c r="E581" s="2" t="s">
        <v>81</v>
      </c>
      <c r="F581" s="2" t="s">
        <v>82</v>
      </c>
      <c r="G581" s="2" t="s">
        <v>8</v>
      </c>
      <c r="H581" s="2" t="s">
        <v>76</v>
      </c>
      <c r="I581" s="2" t="s">
        <v>76</v>
      </c>
      <c r="J581" s="2" t="s">
        <v>15</v>
      </c>
      <c r="K581" s="2" t="s">
        <v>22</v>
      </c>
      <c r="L581" s="2">
        <v>2</v>
      </c>
      <c r="M581" s="2">
        <v>12563</v>
      </c>
      <c r="N581" s="2">
        <v>5</v>
      </c>
      <c r="O581" s="2">
        <v>23869.7</v>
      </c>
      <c r="P581" s="6">
        <v>1809.4</v>
      </c>
    </row>
    <row r="582" spans="1:16" x14ac:dyDescent="0.3">
      <c r="A582" s="5" t="s">
        <v>1006</v>
      </c>
      <c r="B582" s="2" t="s">
        <v>1007</v>
      </c>
      <c r="C582" s="2" t="str">
        <f t="shared" si="9"/>
        <v>May</v>
      </c>
      <c r="D582" s="2" t="s">
        <v>3</v>
      </c>
      <c r="E582" s="2" t="s">
        <v>75</v>
      </c>
      <c r="F582" s="2" t="s">
        <v>75</v>
      </c>
      <c r="G582" s="2" t="s">
        <v>10</v>
      </c>
      <c r="H582" s="2" t="s">
        <v>69</v>
      </c>
      <c r="I582" s="2" t="s">
        <v>69</v>
      </c>
      <c r="J582" s="2" t="s">
        <v>14</v>
      </c>
      <c r="K582" s="2" t="s">
        <v>21</v>
      </c>
      <c r="L582" s="2">
        <v>3</v>
      </c>
      <c r="M582" s="2">
        <v>19645</v>
      </c>
      <c r="N582" s="2">
        <v>0</v>
      </c>
      <c r="O582" s="2">
        <v>58935</v>
      </c>
      <c r="P582" s="6">
        <v>5859.72</v>
      </c>
    </row>
    <row r="583" spans="1:16" x14ac:dyDescent="0.3">
      <c r="A583" s="5" t="s">
        <v>1008</v>
      </c>
      <c r="B583" s="2" t="s">
        <v>1009</v>
      </c>
      <c r="C583" s="2" t="str">
        <f t="shared" si="9"/>
        <v>April</v>
      </c>
      <c r="D583" s="2" t="s">
        <v>3</v>
      </c>
      <c r="E583" s="2" t="s">
        <v>75</v>
      </c>
      <c r="F583" s="2" t="s">
        <v>75</v>
      </c>
      <c r="G583" s="2" t="s">
        <v>10</v>
      </c>
      <c r="H583" s="2" t="s">
        <v>69</v>
      </c>
      <c r="I583" s="2" t="s">
        <v>69</v>
      </c>
      <c r="J583" s="2" t="s">
        <v>12</v>
      </c>
      <c r="K583" s="2" t="s">
        <v>21</v>
      </c>
      <c r="L583" s="2">
        <v>2</v>
      </c>
      <c r="M583" s="2">
        <v>48084</v>
      </c>
      <c r="N583" s="2">
        <v>5</v>
      </c>
      <c r="O583" s="2">
        <v>91359.6</v>
      </c>
      <c r="P583" s="6">
        <v>25570.5</v>
      </c>
    </row>
    <row r="584" spans="1:16" x14ac:dyDescent="0.3">
      <c r="A584" s="5" t="s">
        <v>1010</v>
      </c>
      <c r="B584" s="2" t="s">
        <v>1011</v>
      </c>
      <c r="C584" s="2" t="str">
        <f t="shared" si="9"/>
        <v>October</v>
      </c>
      <c r="D584" s="2" t="s">
        <v>4</v>
      </c>
      <c r="E584" s="2" t="s">
        <v>67</v>
      </c>
      <c r="F584" s="2" t="s">
        <v>68</v>
      </c>
      <c r="G584" s="2" t="s">
        <v>10</v>
      </c>
      <c r="H584" s="2" t="s">
        <v>100</v>
      </c>
      <c r="I584" s="2" t="s">
        <v>100</v>
      </c>
      <c r="J584" s="2" t="s">
        <v>19</v>
      </c>
      <c r="K584" s="2" t="s">
        <v>21</v>
      </c>
      <c r="L584" s="2">
        <v>3</v>
      </c>
      <c r="M584" s="2">
        <v>48842</v>
      </c>
      <c r="N584" s="2">
        <v>15</v>
      </c>
      <c r="O584" s="2">
        <v>124547.1</v>
      </c>
      <c r="P584" s="6">
        <v>26131.64</v>
      </c>
    </row>
    <row r="585" spans="1:16" x14ac:dyDescent="0.3">
      <c r="A585" s="5" t="s">
        <v>1012</v>
      </c>
      <c r="B585" s="2" t="s">
        <v>139</v>
      </c>
      <c r="C585" s="2" t="str">
        <f t="shared" si="9"/>
        <v>February</v>
      </c>
      <c r="D585" s="2" t="s">
        <v>2</v>
      </c>
      <c r="E585" s="2" t="s">
        <v>103</v>
      </c>
      <c r="F585" s="2" t="s">
        <v>104</v>
      </c>
      <c r="G585" s="2" t="s">
        <v>8</v>
      </c>
      <c r="H585" s="2" t="s">
        <v>64</v>
      </c>
      <c r="I585" s="2" t="s">
        <v>64</v>
      </c>
      <c r="J585" s="2" t="s">
        <v>14</v>
      </c>
      <c r="K585" s="2" t="s">
        <v>21</v>
      </c>
      <c r="L585" s="2">
        <v>9</v>
      </c>
      <c r="M585" s="2">
        <v>26027</v>
      </c>
      <c r="N585" s="2">
        <v>0</v>
      </c>
      <c r="O585" s="2">
        <v>234243</v>
      </c>
      <c r="P585" s="6">
        <v>36359.69</v>
      </c>
    </row>
    <row r="586" spans="1:16" x14ac:dyDescent="0.3">
      <c r="A586" s="5" t="s">
        <v>1013</v>
      </c>
      <c r="B586" s="2" t="s">
        <v>692</v>
      </c>
      <c r="C586" s="2" t="str">
        <f t="shared" si="9"/>
        <v>January</v>
      </c>
      <c r="D586" s="2" t="s">
        <v>2</v>
      </c>
      <c r="E586" s="2" t="s">
        <v>81</v>
      </c>
      <c r="F586" s="2" t="s">
        <v>82</v>
      </c>
      <c r="G586" s="2" t="s">
        <v>9</v>
      </c>
      <c r="H586" s="2" t="s">
        <v>59</v>
      </c>
      <c r="I586" s="2" t="s">
        <v>59</v>
      </c>
      <c r="J586" s="2" t="s">
        <v>14</v>
      </c>
      <c r="K586" s="2" t="s">
        <v>21</v>
      </c>
      <c r="L586" s="2">
        <v>2</v>
      </c>
      <c r="M586" s="2">
        <v>36710</v>
      </c>
      <c r="N586" s="2">
        <v>0</v>
      </c>
      <c r="O586" s="2">
        <v>73420</v>
      </c>
      <c r="P586" s="6">
        <v>5670.7</v>
      </c>
    </row>
    <row r="587" spans="1:16" x14ac:dyDescent="0.3">
      <c r="A587" s="5" t="s">
        <v>1014</v>
      </c>
      <c r="B587" s="2" t="s">
        <v>1015</v>
      </c>
      <c r="C587" s="2" t="str">
        <f t="shared" si="9"/>
        <v>January</v>
      </c>
      <c r="D587" s="2" t="s">
        <v>2</v>
      </c>
      <c r="E587" s="2" t="s">
        <v>81</v>
      </c>
      <c r="F587" s="2" t="s">
        <v>82</v>
      </c>
      <c r="G587" s="2" t="s">
        <v>10</v>
      </c>
      <c r="H587" s="2" t="s">
        <v>69</v>
      </c>
      <c r="I587" s="2" t="s">
        <v>69</v>
      </c>
      <c r="J587" s="2" t="s">
        <v>13</v>
      </c>
      <c r="K587" s="2" t="s">
        <v>22</v>
      </c>
      <c r="L587" s="2">
        <v>8</v>
      </c>
      <c r="M587" s="2">
        <v>38949</v>
      </c>
      <c r="N587" s="2">
        <v>0</v>
      </c>
      <c r="O587" s="2">
        <v>311592</v>
      </c>
      <c r="P587" s="6">
        <v>86143.59</v>
      </c>
    </row>
    <row r="588" spans="1:16" x14ac:dyDescent="0.3">
      <c r="A588" s="5" t="s">
        <v>1016</v>
      </c>
      <c r="B588" s="2" t="s">
        <v>912</v>
      </c>
      <c r="C588" s="2" t="str">
        <f t="shared" si="9"/>
        <v>March</v>
      </c>
      <c r="D588" s="2" t="s">
        <v>4</v>
      </c>
      <c r="E588" s="2" t="s">
        <v>67</v>
      </c>
      <c r="F588" s="2" t="s">
        <v>68</v>
      </c>
      <c r="G588" s="2" t="s">
        <v>8</v>
      </c>
      <c r="H588" s="2" t="s">
        <v>93</v>
      </c>
      <c r="I588" s="2" t="s">
        <v>93</v>
      </c>
      <c r="J588" s="2" t="s">
        <v>17</v>
      </c>
      <c r="K588" s="2" t="s">
        <v>22</v>
      </c>
      <c r="L588" s="2">
        <v>4</v>
      </c>
      <c r="M588" s="2">
        <v>30943</v>
      </c>
      <c r="N588" s="2">
        <v>15</v>
      </c>
      <c r="O588" s="2">
        <v>105206.2</v>
      </c>
      <c r="P588" s="6">
        <v>7402</v>
      </c>
    </row>
    <row r="589" spans="1:16" x14ac:dyDescent="0.3">
      <c r="A589" s="5" t="s">
        <v>1017</v>
      </c>
      <c r="B589" s="2" t="s">
        <v>1018</v>
      </c>
      <c r="C589" s="2" t="str">
        <f t="shared" si="9"/>
        <v>March</v>
      </c>
      <c r="D589" s="2" t="s">
        <v>5</v>
      </c>
      <c r="E589" s="2" t="s">
        <v>57</v>
      </c>
      <c r="F589" s="2" t="s">
        <v>58</v>
      </c>
      <c r="G589" s="2" t="s">
        <v>10</v>
      </c>
      <c r="H589" s="2" t="s">
        <v>54</v>
      </c>
      <c r="I589" s="2" t="s">
        <v>54</v>
      </c>
      <c r="J589" s="2" t="s">
        <v>12</v>
      </c>
      <c r="K589" s="2" t="s">
        <v>22</v>
      </c>
      <c r="L589" s="2">
        <v>10</v>
      </c>
      <c r="M589" s="2">
        <v>15884</v>
      </c>
      <c r="N589" s="2">
        <v>5</v>
      </c>
      <c r="O589" s="2">
        <v>150898</v>
      </c>
      <c r="P589" s="6">
        <v>34485.21</v>
      </c>
    </row>
    <row r="590" spans="1:16" x14ac:dyDescent="0.3">
      <c r="A590" s="5" t="s">
        <v>1019</v>
      </c>
      <c r="B590" s="2" t="s">
        <v>1020</v>
      </c>
      <c r="C590" s="2" t="str">
        <f t="shared" si="9"/>
        <v>December</v>
      </c>
      <c r="D590" s="2" t="s">
        <v>4</v>
      </c>
      <c r="E590" s="2" t="s">
        <v>67</v>
      </c>
      <c r="F590" s="2" t="s">
        <v>68</v>
      </c>
      <c r="G590" s="2" t="s">
        <v>9</v>
      </c>
      <c r="H590" s="2" t="s">
        <v>72</v>
      </c>
      <c r="I590" s="2" t="s">
        <v>72</v>
      </c>
      <c r="J590" s="2" t="s">
        <v>16</v>
      </c>
      <c r="K590" s="2" t="s">
        <v>22</v>
      </c>
      <c r="L590" s="2">
        <v>3</v>
      </c>
      <c r="M590" s="2">
        <v>7025</v>
      </c>
      <c r="N590" s="2">
        <v>0</v>
      </c>
      <c r="O590" s="2">
        <v>21075</v>
      </c>
      <c r="P590" s="6">
        <v>3617.58</v>
      </c>
    </row>
    <row r="591" spans="1:16" x14ac:dyDescent="0.3">
      <c r="A591" s="5" t="s">
        <v>1021</v>
      </c>
      <c r="B591" s="2" t="s">
        <v>921</v>
      </c>
      <c r="C591" s="2" t="str">
        <f t="shared" si="9"/>
        <v>January</v>
      </c>
      <c r="D591" s="2" t="s">
        <v>4</v>
      </c>
      <c r="E591" s="2" t="s">
        <v>62</v>
      </c>
      <c r="F591" s="2" t="s">
        <v>63</v>
      </c>
      <c r="G591" s="2" t="s">
        <v>8</v>
      </c>
      <c r="H591" s="2" t="s">
        <v>76</v>
      </c>
      <c r="I591" s="2" t="s">
        <v>76</v>
      </c>
      <c r="J591" s="2" t="s">
        <v>18</v>
      </c>
      <c r="K591" s="2" t="s">
        <v>21</v>
      </c>
      <c r="L591" s="2">
        <v>2</v>
      </c>
      <c r="M591" s="2">
        <v>22521</v>
      </c>
      <c r="N591" s="2">
        <v>10</v>
      </c>
      <c r="O591" s="2">
        <v>40537.800000000003</v>
      </c>
      <c r="P591" s="6">
        <v>6207.16</v>
      </c>
    </row>
    <row r="592" spans="1:16" x14ac:dyDescent="0.3">
      <c r="A592" s="5" t="s">
        <v>1022</v>
      </c>
      <c r="B592" s="2" t="s">
        <v>1023</v>
      </c>
      <c r="C592" s="2" t="str">
        <f t="shared" si="9"/>
        <v>June</v>
      </c>
      <c r="D592" s="2" t="s">
        <v>2</v>
      </c>
      <c r="E592" s="2" t="s">
        <v>81</v>
      </c>
      <c r="F592" s="2" t="s">
        <v>82</v>
      </c>
      <c r="G592" s="2" t="s">
        <v>9</v>
      </c>
      <c r="H592" s="2" t="s">
        <v>59</v>
      </c>
      <c r="I592" s="2" t="s">
        <v>59</v>
      </c>
      <c r="J592" s="2" t="s">
        <v>18</v>
      </c>
      <c r="K592" s="2" t="s">
        <v>22</v>
      </c>
      <c r="L592" s="2">
        <v>6</v>
      </c>
      <c r="M592" s="2">
        <v>1339</v>
      </c>
      <c r="N592" s="2">
        <v>0</v>
      </c>
      <c r="O592" s="2">
        <v>8034</v>
      </c>
      <c r="P592" s="6">
        <v>1015.6</v>
      </c>
    </row>
    <row r="593" spans="1:16" x14ac:dyDescent="0.3">
      <c r="A593" s="5" t="s">
        <v>1024</v>
      </c>
      <c r="B593" s="2" t="s">
        <v>815</v>
      </c>
      <c r="C593" s="2" t="str">
        <f t="shared" si="9"/>
        <v>March</v>
      </c>
      <c r="D593" s="2" t="s">
        <v>3</v>
      </c>
      <c r="E593" s="2" t="s">
        <v>75</v>
      </c>
      <c r="F593" s="2" t="s">
        <v>75</v>
      </c>
      <c r="G593" s="2" t="s">
        <v>8</v>
      </c>
      <c r="H593" s="2" t="s">
        <v>133</v>
      </c>
      <c r="I593" s="2" t="s">
        <v>133</v>
      </c>
      <c r="J593" s="2" t="s">
        <v>16</v>
      </c>
      <c r="K593" s="2" t="s">
        <v>22</v>
      </c>
      <c r="L593" s="2">
        <v>7</v>
      </c>
      <c r="M593" s="2">
        <v>7790</v>
      </c>
      <c r="N593" s="2">
        <v>0</v>
      </c>
      <c r="O593" s="2">
        <v>54530</v>
      </c>
      <c r="P593" s="6">
        <v>9190.26</v>
      </c>
    </row>
    <row r="594" spans="1:16" x14ac:dyDescent="0.3">
      <c r="A594" s="5" t="s">
        <v>1025</v>
      </c>
      <c r="B594" s="2" t="s">
        <v>1026</v>
      </c>
      <c r="C594" s="2" t="str">
        <f t="shared" si="9"/>
        <v>November</v>
      </c>
      <c r="D594" s="2" t="s">
        <v>4</v>
      </c>
      <c r="E594" s="2" t="s">
        <v>62</v>
      </c>
      <c r="F594" s="2" t="s">
        <v>63</v>
      </c>
      <c r="G594" s="2" t="s">
        <v>10</v>
      </c>
      <c r="H594" s="2" t="s">
        <v>69</v>
      </c>
      <c r="I594" s="2" t="s">
        <v>69</v>
      </c>
      <c r="J594" s="2" t="s">
        <v>15</v>
      </c>
      <c r="K594" s="2" t="s">
        <v>21</v>
      </c>
      <c r="L594" s="2">
        <v>5</v>
      </c>
      <c r="M594" s="2">
        <v>9577</v>
      </c>
      <c r="N594" s="2">
        <v>10</v>
      </c>
      <c r="O594" s="2">
        <v>43096.5</v>
      </c>
      <c r="P594" s="6">
        <v>7191.39</v>
      </c>
    </row>
    <row r="595" spans="1:16" x14ac:dyDescent="0.3">
      <c r="A595" s="5" t="s">
        <v>1027</v>
      </c>
      <c r="B595" s="2" t="s">
        <v>206</v>
      </c>
      <c r="C595" s="2" t="str">
        <f t="shared" si="9"/>
        <v>May</v>
      </c>
      <c r="D595" s="2" t="s">
        <v>4</v>
      </c>
      <c r="E595" s="2" t="s">
        <v>67</v>
      </c>
      <c r="F595" s="2" t="s">
        <v>68</v>
      </c>
      <c r="G595" s="2" t="s">
        <v>9</v>
      </c>
      <c r="H595" s="2" t="s">
        <v>72</v>
      </c>
      <c r="I595" s="2" t="s">
        <v>72</v>
      </c>
      <c r="J595" s="2" t="s">
        <v>12</v>
      </c>
      <c r="K595" s="2" t="s">
        <v>21</v>
      </c>
      <c r="L595" s="2">
        <v>3</v>
      </c>
      <c r="M595" s="2">
        <v>42699</v>
      </c>
      <c r="N595" s="2">
        <v>5</v>
      </c>
      <c r="O595" s="2">
        <v>121692.15</v>
      </c>
      <c r="P595" s="6">
        <v>25548.71</v>
      </c>
    </row>
    <row r="596" spans="1:16" x14ac:dyDescent="0.3">
      <c r="A596" s="5" t="s">
        <v>1028</v>
      </c>
      <c r="B596" s="2" t="s">
        <v>360</v>
      </c>
      <c r="C596" s="2" t="str">
        <f t="shared" si="9"/>
        <v>April</v>
      </c>
      <c r="D596" s="2" t="s">
        <v>2</v>
      </c>
      <c r="E596" s="2" t="s">
        <v>103</v>
      </c>
      <c r="F596" s="2" t="s">
        <v>104</v>
      </c>
      <c r="G596" s="2" t="s">
        <v>8</v>
      </c>
      <c r="H596" s="2" t="s">
        <v>64</v>
      </c>
      <c r="I596" s="2" t="s">
        <v>64</v>
      </c>
      <c r="J596" s="2" t="s">
        <v>13</v>
      </c>
      <c r="K596" s="2" t="s">
        <v>21</v>
      </c>
      <c r="L596" s="2">
        <v>7</v>
      </c>
      <c r="M596" s="2">
        <v>41315</v>
      </c>
      <c r="N596" s="2">
        <v>5</v>
      </c>
      <c r="O596" s="2">
        <v>274744.75</v>
      </c>
      <c r="P596" s="6">
        <v>24343.66</v>
      </c>
    </row>
    <row r="597" spans="1:16" x14ac:dyDescent="0.3">
      <c r="A597" s="5" t="s">
        <v>1029</v>
      </c>
      <c r="B597" s="2" t="s">
        <v>648</v>
      </c>
      <c r="C597" s="2" t="str">
        <f t="shared" si="9"/>
        <v>December</v>
      </c>
      <c r="D597" s="2" t="s">
        <v>5</v>
      </c>
      <c r="E597" s="2" t="s">
        <v>57</v>
      </c>
      <c r="F597" s="2" t="s">
        <v>58</v>
      </c>
      <c r="G597" s="2" t="s">
        <v>10</v>
      </c>
      <c r="H597" s="2" t="s">
        <v>69</v>
      </c>
      <c r="I597" s="2" t="s">
        <v>69</v>
      </c>
      <c r="J597" s="2" t="s">
        <v>19</v>
      </c>
      <c r="K597" s="2" t="s">
        <v>21</v>
      </c>
      <c r="L597" s="2">
        <v>7</v>
      </c>
      <c r="M597" s="2">
        <v>27299</v>
      </c>
      <c r="N597" s="2">
        <v>15</v>
      </c>
      <c r="O597" s="2">
        <v>162429.04999999999</v>
      </c>
      <c r="P597" s="6">
        <v>30553.18</v>
      </c>
    </row>
    <row r="598" spans="1:16" x14ac:dyDescent="0.3">
      <c r="A598" s="5" t="s">
        <v>1030</v>
      </c>
      <c r="B598" s="2" t="s">
        <v>495</v>
      </c>
      <c r="C598" s="2" t="str">
        <f t="shared" si="9"/>
        <v>June</v>
      </c>
      <c r="D598" s="2" t="s">
        <v>2</v>
      </c>
      <c r="E598" s="2" t="s">
        <v>103</v>
      </c>
      <c r="F598" s="2" t="s">
        <v>104</v>
      </c>
      <c r="G598" s="2" t="s">
        <v>8</v>
      </c>
      <c r="H598" s="2" t="s">
        <v>64</v>
      </c>
      <c r="I598" s="2" t="s">
        <v>64</v>
      </c>
      <c r="J598" s="2" t="s">
        <v>19</v>
      </c>
      <c r="K598" s="2" t="s">
        <v>22</v>
      </c>
      <c r="L598" s="2">
        <v>7</v>
      </c>
      <c r="M598" s="2">
        <v>6567</v>
      </c>
      <c r="N598" s="2">
        <v>15</v>
      </c>
      <c r="O598" s="2">
        <v>39073.65</v>
      </c>
      <c r="P598" s="6">
        <v>6178.19</v>
      </c>
    </row>
    <row r="599" spans="1:16" x14ac:dyDescent="0.3">
      <c r="A599" s="5" t="s">
        <v>1031</v>
      </c>
      <c r="B599" s="2" t="s">
        <v>825</v>
      </c>
      <c r="C599" s="2" t="str">
        <f t="shared" si="9"/>
        <v>June</v>
      </c>
      <c r="D599" s="2" t="s">
        <v>2</v>
      </c>
      <c r="E599" s="2" t="s">
        <v>81</v>
      </c>
      <c r="F599" s="2" t="s">
        <v>82</v>
      </c>
      <c r="G599" s="2" t="s">
        <v>8</v>
      </c>
      <c r="H599" s="2" t="s">
        <v>133</v>
      </c>
      <c r="I599" s="2" t="s">
        <v>133</v>
      </c>
      <c r="J599" s="2" t="s">
        <v>12</v>
      </c>
      <c r="K599" s="2" t="s">
        <v>22</v>
      </c>
      <c r="L599" s="2">
        <v>4</v>
      </c>
      <c r="M599" s="2">
        <v>15915</v>
      </c>
      <c r="N599" s="2">
        <v>5</v>
      </c>
      <c r="O599" s="2">
        <v>60477</v>
      </c>
      <c r="P599" s="6">
        <v>7064.25</v>
      </c>
    </row>
    <row r="600" spans="1:16" x14ac:dyDescent="0.3">
      <c r="A600" s="5" t="s">
        <v>1032</v>
      </c>
      <c r="B600" s="2" t="s">
        <v>1033</v>
      </c>
      <c r="C600" s="2" t="str">
        <f t="shared" si="9"/>
        <v>February</v>
      </c>
      <c r="D600" s="2" t="s">
        <v>3</v>
      </c>
      <c r="E600" s="2" t="s">
        <v>75</v>
      </c>
      <c r="F600" s="2" t="s">
        <v>75</v>
      </c>
      <c r="G600" s="2" t="s">
        <v>10</v>
      </c>
      <c r="H600" s="2" t="s">
        <v>100</v>
      </c>
      <c r="I600" s="2" t="s">
        <v>100</v>
      </c>
      <c r="J600" s="2" t="s">
        <v>17</v>
      </c>
      <c r="K600" s="2" t="s">
        <v>21</v>
      </c>
      <c r="L600" s="2">
        <v>6</v>
      </c>
      <c r="M600" s="2">
        <v>40010</v>
      </c>
      <c r="N600" s="2">
        <v>15</v>
      </c>
      <c r="O600" s="2">
        <v>204051</v>
      </c>
      <c r="P600" s="6">
        <v>27524.35</v>
      </c>
    </row>
    <row r="601" spans="1:16" x14ac:dyDescent="0.3">
      <c r="A601" s="5" t="s">
        <v>1034</v>
      </c>
      <c r="B601" s="2" t="s">
        <v>251</v>
      </c>
      <c r="C601" s="2" t="str">
        <f t="shared" si="9"/>
        <v>February</v>
      </c>
      <c r="D601" s="2" t="s">
        <v>5</v>
      </c>
      <c r="E601" s="2" t="s">
        <v>57</v>
      </c>
      <c r="F601" s="2" t="s">
        <v>58</v>
      </c>
      <c r="G601" s="2" t="s">
        <v>9</v>
      </c>
      <c r="H601" s="2" t="s">
        <v>126</v>
      </c>
      <c r="I601" s="2" t="s">
        <v>126</v>
      </c>
      <c r="J601" s="2" t="s">
        <v>15</v>
      </c>
      <c r="K601" s="2" t="s">
        <v>22</v>
      </c>
      <c r="L601" s="2">
        <v>2</v>
      </c>
      <c r="M601" s="2">
        <v>13335</v>
      </c>
      <c r="N601" s="2">
        <v>20</v>
      </c>
      <c r="O601" s="2">
        <v>21336</v>
      </c>
      <c r="P601" s="6">
        <v>1411.57</v>
      </c>
    </row>
    <row r="602" spans="1:16" x14ac:dyDescent="0.3">
      <c r="A602" s="5" t="s">
        <v>1035</v>
      </c>
      <c r="B602" s="2" t="s">
        <v>509</v>
      </c>
      <c r="C602" s="2" t="str">
        <f t="shared" si="9"/>
        <v>April</v>
      </c>
      <c r="D602" s="2" t="s">
        <v>2</v>
      </c>
      <c r="E602" s="2" t="s">
        <v>103</v>
      </c>
      <c r="F602" s="2" t="s">
        <v>104</v>
      </c>
      <c r="G602" s="2" t="s">
        <v>10</v>
      </c>
      <c r="H602" s="2" t="s">
        <v>54</v>
      </c>
      <c r="I602" s="2" t="s">
        <v>54</v>
      </c>
      <c r="J602" s="2" t="s">
        <v>19</v>
      </c>
      <c r="K602" s="2" t="s">
        <v>22</v>
      </c>
      <c r="L602" s="2">
        <v>6</v>
      </c>
      <c r="M602" s="2">
        <v>33913</v>
      </c>
      <c r="N602" s="2">
        <v>10</v>
      </c>
      <c r="O602" s="2">
        <v>183130.2</v>
      </c>
      <c r="P602" s="6">
        <v>10708.56</v>
      </c>
    </row>
    <row r="603" spans="1:16" x14ac:dyDescent="0.3">
      <c r="A603" s="5" t="s">
        <v>1036</v>
      </c>
      <c r="B603" s="2" t="s">
        <v>393</v>
      </c>
      <c r="C603" s="2" t="str">
        <f t="shared" si="9"/>
        <v>August</v>
      </c>
      <c r="D603" s="2" t="s">
        <v>4</v>
      </c>
      <c r="E603" s="2" t="s">
        <v>67</v>
      </c>
      <c r="F603" s="2" t="s">
        <v>68</v>
      </c>
      <c r="G603" s="2" t="s">
        <v>9</v>
      </c>
      <c r="H603" s="2" t="s">
        <v>59</v>
      </c>
      <c r="I603" s="2" t="s">
        <v>59</v>
      </c>
      <c r="J603" s="2" t="s">
        <v>19</v>
      </c>
      <c r="K603" s="2" t="s">
        <v>22</v>
      </c>
      <c r="L603" s="2">
        <v>6</v>
      </c>
      <c r="M603" s="2">
        <v>4730</v>
      </c>
      <c r="N603" s="2">
        <v>15</v>
      </c>
      <c r="O603" s="2">
        <v>24123</v>
      </c>
      <c r="P603" s="6">
        <v>3421.25</v>
      </c>
    </row>
    <row r="604" spans="1:16" x14ac:dyDescent="0.3">
      <c r="A604" s="5" t="s">
        <v>1037</v>
      </c>
      <c r="B604" s="2" t="s">
        <v>1038</v>
      </c>
      <c r="C604" s="2" t="str">
        <f t="shared" si="9"/>
        <v>January</v>
      </c>
      <c r="D604" s="2" t="s">
        <v>2</v>
      </c>
      <c r="E604" s="2" t="s">
        <v>81</v>
      </c>
      <c r="F604" s="2" t="s">
        <v>82</v>
      </c>
      <c r="G604" s="2" t="s">
        <v>10</v>
      </c>
      <c r="H604" s="2" t="s">
        <v>54</v>
      </c>
      <c r="I604" s="2" t="s">
        <v>54</v>
      </c>
      <c r="J604" s="2" t="s">
        <v>14</v>
      </c>
      <c r="K604" s="2" t="s">
        <v>22</v>
      </c>
      <c r="L604" s="2">
        <v>7</v>
      </c>
      <c r="M604" s="2">
        <v>20682</v>
      </c>
      <c r="N604" s="2">
        <v>10</v>
      </c>
      <c r="O604" s="2">
        <v>130296.6</v>
      </c>
      <c r="P604" s="6">
        <v>8148.79</v>
      </c>
    </row>
    <row r="605" spans="1:16" x14ac:dyDescent="0.3">
      <c r="A605" s="5" t="s">
        <v>1039</v>
      </c>
      <c r="B605" s="2" t="s">
        <v>1040</v>
      </c>
      <c r="C605" s="2" t="str">
        <f t="shared" si="9"/>
        <v>February</v>
      </c>
      <c r="D605" s="2" t="s">
        <v>4</v>
      </c>
      <c r="E605" s="2" t="s">
        <v>62</v>
      </c>
      <c r="F605" s="2" t="s">
        <v>63</v>
      </c>
      <c r="G605" s="2" t="s">
        <v>10</v>
      </c>
      <c r="H605" s="2" t="s">
        <v>100</v>
      </c>
      <c r="I605" s="2" t="s">
        <v>100</v>
      </c>
      <c r="J605" s="2" t="s">
        <v>14</v>
      </c>
      <c r="K605" s="2" t="s">
        <v>22</v>
      </c>
      <c r="L605" s="2">
        <v>9</v>
      </c>
      <c r="M605" s="2">
        <v>42445</v>
      </c>
      <c r="N605" s="2">
        <v>5</v>
      </c>
      <c r="O605" s="2">
        <v>362904.75</v>
      </c>
      <c r="P605" s="6">
        <v>93348.59</v>
      </c>
    </row>
    <row r="606" spans="1:16" x14ac:dyDescent="0.3">
      <c r="A606" s="5" t="s">
        <v>1041</v>
      </c>
      <c r="B606" s="2" t="s">
        <v>219</v>
      </c>
      <c r="C606" s="2" t="str">
        <f t="shared" si="9"/>
        <v>April</v>
      </c>
      <c r="D606" s="2" t="s">
        <v>2</v>
      </c>
      <c r="E606" s="2" t="s">
        <v>103</v>
      </c>
      <c r="F606" s="2" t="s">
        <v>104</v>
      </c>
      <c r="G606" s="2" t="s">
        <v>8</v>
      </c>
      <c r="H606" s="2" t="s">
        <v>64</v>
      </c>
      <c r="I606" s="2" t="s">
        <v>64</v>
      </c>
      <c r="J606" s="2" t="s">
        <v>15</v>
      </c>
      <c r="K606" s="2" t="s">
        <v>22</v>
      </c>
      <c r="L606" s="2">
        <v>10</v>
      </c>
      <c r="M606" s="2">
        <v>47566</v>
      </c>
      <c r="N606" s="2">
        <v>15</v>
      </c>
      <c r="O606" s="2">
        <v>404311</v>
      </c>
      <c r="P606" s="6">
        <v>110809.81</v>
      </c>
    </row>
    <row r="607" spans="1:16" x14ac:dyDescent="0.3">
      <c r="A607" s="5" t="s">
        <v>1042</v>
      </c>
      <c r="B607" s="2" t="s">
        <v>391</v>
      </c>
      <c r="C607" s="2" t="str">
        <f t="shared" si="9"/>
        <v>March</v>
      </c>
      <c r="D607" s="2" t="s">
        <v>2</v>
      </c>
      <c r="E607" s="2" t="s">
        <v>103</v>
      </c>
      <c r="F607" s="2" t="s">
        <v>104</v>
      </c>
      <c r="G607" s="2" t="s">
        <v>8</v>
      </c>
      <c r="H607" s="2" t="s">
        <v>64</v>
      </c>
      <c r="I607" s="2" t="s">
        <v>64</v>
      </c>
      <c r="J607" s="2" t="s">
        <v>13</v>
      </c>
      <c r="K607" s="2" t="s">
        <v>22</v>
      </c>
      <c r="L607" s="2">
        <v>8</v>
      </c>
      <c r="M607" s="2">
        <v>25190</v>
      </c>
      <c r="N607" s="2">
        <v>0</v>
      </c>
      <c r="O607" s="2">
        <v>201520</v>
      </c>
      <c r="P607" s="6">
        <v>48313.41</v>
      </c>
    </row>
    <row r="608" spans="1:16" x14ac:dyDescent="0.3">
      <c r="A608" s="5" t="s">
        <v>1043</v>
      </c>
      <c r="B608" s="2" t="s">
        <v>1044</v>
      </c>
      <c r="C608" s="2" t="str">
        <f t="shared" si="9"/>
        <v>May</v>
      </c>
      <c r="D608" s="2" t="s">
        <v>4</v>
      </c>
      <c r="E608" s="2" t="s">
        <v>67</v>
      </c>
      <c r="F608" s="2" t="s">
        <v>68</v>
      </c>
      <c r="G608" s="2" t="s">
        <v>8</v>
      </c>
      <c r="H608" s="2" t="s">
        <v>93</v>
      </c>
      <c r="I608" s="2" t="s">
        <v>93</v>
      </c>
      <c r="J608" s="2" t="s">
        <v>12</v>
      </c>
      <c r="K608" s="2" t="s">
        <v>22</v>
      </c>
      <c r="L608" s="2">
        <v>5</v>
      </c>
      <c r="M608" s="2">
        <v>27232</v>
      </c>
      <c r="N608" s="2">
        <v>10</v>
      </c>
      <c r="O608" s="2">
        <v>122544</v>
      </c>
      <c r="P608" s="6">
        <v>16679.21</v>
      </c>
    </row>
    <row r="609" spans="1:16" x14ac:dyDescent="0.3">
      <c r="A609" s="5" t="s">
        <v>1045</v>
      </c>
      <c r="B609" s="2" t="s">
        <v>1046</v>
      </c>
      <c r="C609" s="2" t="str">
        <f t="shared" si="9"/>
        <v>April</v>
      </c>
      <c r="D609" s="2" t="s">
        <v>2</v>
      </c>
      <c r="E609" s="2" t="s">
        <v>103</v>
      </c>
      <c r="F609" s="2" t="s">
        <v>104</v>
      </c>
      <c r="G609" s="2" t="s">
        <v>9</v>
      </c>
      <c r="H609" s="2" t="s">
        <v>126</v>
      </c>
      <c r="I609" s="2" t="s">
        <v>126</v>
      </c>
      <c r="J609" s="2" t="s">
        <v>19</v>
      </c>
      <c r="K609" s="2" t="s">
        <v>21</v>
      </c>
      <c r="L609" s="2">
        <v>3</v>
      </c>
      <c r="M609" s="2">
        <v>26250</v>
      </c>
      <c r="N609" s="2">
        <v>0</v>
      </c>
      <c r="O609" s="2">
        <v>78750</v>
      </c>
      <c r="P609" s="6">
        <v>5751.97</v>
      </c>
    </row>
    <row r="610" spans="1:16" x14ac:dyDescent="0.3">
      <c r="A610" s="5" t="s">
        <v>1047</v>
      </c>
      <c r="B610" s="2" t="s">
        <v>1048</v>
      </c>
      <c r="C610" s="2" t="str">
        <f t="shared" si="9"/>
        <v>February</v>
      </c>
      <c r="D610" s="2" t="s">
        <v>2</v>
      </c>
      <c r="E610" s="2" t="s">
        <v>81</v>
      </c>
      <c r="F610" s="2" t="s">
        <v>82</v>
      </c>
      <c r="G610" s="2" t="s">
        <v>10</v>
      </c>
      <c r="H610" s="2" t="s">
        <v>100</v>
      </c>
      <c r="I610" s="2" t="s">
        <v>100</v>
      </c>
      <c r="J610" s="2" t="s">
        <v>15</v>
      </c>
      <c r="K610" s="2" t="s">
        <v>21</v>
      </c>
      <c r="L610" s="2">
        <v>10</v>
      </c>
      <c r="M610" s="2">
        <v>6906</v>
      </c>
      <c r="N610" s="2">
        <v>5</v>
      </c>
      <c r="O610" s="2">
        <v>65607</v>
      </c>
      <c r="P610" s="6">
        <v>11866.76</v>
      </c>
    </row>
    <row r="611" spans="1:16" x14ac:dyDescent="0.3">
      <c r="A611" s="5" t="s">
        <v>1049</v>
      </c>
      <c r="B611" s="2" t="s">
        <v>85</v>
      </c>
      <c r="C611" s="2" t="str">
        <f t="shared" si="9"/>
        <v>January</v>
      </c>
      <c r="D611" s="2" t="s">
        <v>3</v>
      </c>
      <c r="E611" s="2" t="s">
        <v>117</v>
      </c>
      <c r="F611" s="2" t="s">
        <v>117</v>
      </c>
      <c r="G611" s="2" t="s">
        <v>10</v>
      </c>
      <c r="H611" s="2" t="s">
        <v>54</v>
      </c>
      <c r="I611" s="2" t="s">
        <v>54</v>
      </c>
      <c r="J611" s="2" t="s">
        <v>12</v>
      </c>
      <c r="K611" s="2" t="s">
        <v>21</v>
      </c>
      <c r="L611" s="2">
        <v>3</v>
      </c>
      <c r="M611" s="2">
        <v>5125</v>
      </c>
      <c r="N611" s="2">
        <v>20</v>
      </c>
      <c r="O611" s="2">
        <v>12300</v>
      </c>
      <c r="P611" s="6">
        <v>2957.75</v>
      </c>
    </row>
    <row r="612" spans="1:16" x14ac:dyDescent="0.3">
      <c r="A612" s="5" t="s">
        <v>1050</v>
      </c>
      <c r="B612" s="2" t="s">
        <v>258</v>
      </c>
      <c r="C612" s="2" t="str">
        <f t="shared" si="9"/>
        <v>October</v>
      </c>
      <c r="D612" s="2" t="s">
        <v>4</v>
      </c>
      <c r="E612" s="2" t="s">
        <v>62</v>
      </c>
      <c r="F612" s="2" t="s">
        <v>63</v>
      </c>
      <c r="G612" s="2" t="s">
        <v>8</v>
      </c>
      <c r="H612" s="2" t="s">
        <v>76</v>
      </c>
      <c r="I612" s="2" t="s">
        <v>76</v>
      </c>
      <c r="J612" s="2" t="s">
        <v>13</v>
      </c>
      <c r="K612" s="2" t="s">
        <v>22</v>
      </c>
      <c r="L612" s="2">
        <v>8</v>
      </c>
      <c r="M612" s="2">
        <v>39605</v>
      </c>
      <c r="N612" s="2">
        <v>15</v>
      </c>
      <c r="O612" s="2">
        <v>269314</v>
      </c>
      <c r="P612" s="6">
        <v>61960.11</v>
      </c>
    </row>
    <row r="613" spans="1:16" x14ac:dyDescent="0.3">
      <c r="A613" s="5" t="s">
        <v>1051</v>
      </c>
      <c r="B613" s="2" t="s">
        <v>393</v>
      </c>
      <c r="C613" s="2" t="str">
        <f t="shared" si="9"/>
        <v>August</v>
      </c>
      <c r="D613" s="2" t="s">
        <v>2</v>
      </c>
      <c r="E613" s="2" t="s">
        <v>103</v>
      </c>
      <c r="F613" s="2" t="s">
        <v>104</v>
      </c>
      <c r="G613" s="2" t="s">
        <v>10</v>
      </c>
      <c r="H613" s="2" t="s">
        <v>54</v>
      </c>
      <c r="I613" s="2" t="s">
        <v>54</v>
      </c>
      <c r="J613" s="2" t="s">
        <v>19</v>
      </c>
      <c r="K613" s="2" t="s">
        <v>21</v>
      </c>
      <c r="L613" s="2">
        <v>4</v>
      </c>
      <c r="M613" s="2">
        <v>5254</v>
      </c>
      <c r="N613" s="2">
        <v>5</v>
      </c>
      <c r="O613" s="2">
        <v>19965.2</v>
      </c>
      <c r="P613" s="6">
        <v>2092.73</v>
      </c>
    </row>
    <row r="614" spans="1:16" x14ac:dyDescent="0.3">
      <c r="A614" s="5" t="s">
        <v>1052</v>
      </c>
      <c r="B614" s="2" t="s">
        <v>554</v>
      </c>
      <c r="C614" s="2" t="str">
        <f t="shared" si="9"/>
        <v>February</v>
      </c>
      <c r="D614" s="2" t="s">
        <v>3</v>
      </c>
      <c r="E614" s="2" t="s">
        <v>117</v>
      </c>
      <c r="F614" s="2" t="s">
        <v>117</v>
      </c>
      <c r="G614" s="2" t="s">
        <v>10</v>
      </c>
      <c r="H614" s="2" t="s">
        <v>54</v>
      </c>
      <c r="I614" s="2" t="s">
        <v>54</v>
      </c>
      <c r="J614" s="2" t="s">
        <v>15</v>
      </c>
      <c r="K614" s="2" t="s">
        <v>21</v>
      </c>
      <c r="L614" s="2">
        <v>9</v>
      </c>
      <c r="M614" s="2">
        <v>23593</v>
      </c>
      <c r="N614" s="2">
        <v>0</v>
      </c>
      <c r="O614" s="2">
        <v>212337</v>
      </c>
      <c r="P614" s="6">
        <v>13634.21</v>
      </c>
    </row>
    <row r="615" spans="1:16" x14ac:dyDescent="0.3">
      <c r="A615" s="5" t="s">
        <v>1053</v>
      </c>
      <c r="B615" s="2" t="s">
        <v>603</v>
      </c>
      <c r="C615" s="2" t="str">
        <f t="shared" si="9"/>
        <v>April</v>
      </c>
      <c r="D615" s="2" t="s">
        <v>3</v>
      </c>
      <c r="E615" s="2" t="s">
        <v>117</v>
      </c>
      <c r="F615" s="2" t="s">
        <v>117</v>
      </c>
      <c r="G615" s="2" t="s">
        <v>8</v>
      </c>
      <c r="H615" s="2" t="s">
        <v>133</v>
      </c>
      <c r="I615" s="2" t="s">
        <v>133</v>
      </c>
      <c r="J615" s="2" t="s">
        <v>15</v>
      </c>
      <c r="K615" s="2" t="s">
        <v>22</v>
      </c>
      <c r="L615" s="2">
        <v>4</v>
      </c>
      <c r="M615" s="2">
        <v>4953</v>
      </c>
      <c r="N615" s="2">
        <v>0</v>
      </c>
      <c r="O615" s="2">
        <v>19812</v>
      </c>
      <c r="P615" s="6">
        <v>2094.96</v>
      </c>
    </row>
    <row r="616" spans="1:16" x14ac:dyDescent="0.3">
      <c r="A616" s="5" t="s">
        <v>1054</v>
      </c>
      <c r="B616" s="2" t="s">
        <v>474</v>
      </c>
      <c r="C616" s="2" t="str">
        <f t="shared" si="9"/>
        <v>April</v>
      </c>
      <c r="D616" s="2" t="s">
        <v>5</v>
      </c>
      <c r="E616" s="2" t="s">
        <v>52</v>
      </c>
      <c r="F616" s="2" t="s">
        <v>53</v>
      </c>
      <c r="G616" s="2" t="s">
        <v>8</v>
      </c>
      <c r="H616" s="2" t="s">
        <v>93</v>
      </c>
      <c r="I616" s="2" t="s">
        <v>93</v>
      </c>
      <c r="J616" s="2" t="s">
        <v>18</v>
      </c>
      <c r="K616" s="2" t="s">
        <v>22</v>
      </c>
      <c r="L616" s="2">
        <v>3</v>
      </c>
      <c r="M616" s="2">
        <v>24461</v>
      </c>
      <c r="N616" s="2">
        <v>10</v>
      </c>
      <c r="O616" s="2">
        <v>66044.7</v>
      </c>
      <c r="P616" s="6">
        <v>9215.66</v>
      </c>
    </row>
    <row r="617" spans="1:16" x14ac:dyDescent="0.3">
      <c r="A617" s="5" t="s">
        <v>1055</v>
      </c>
      <c r="B617" s="2" t="s">
        <v>803</v>
      </c>
      <c r="C617" s="2" t="str">
        <f t="shared" si="9"/>
        <v>June</v>
      </c>
      <c r="D617" s="2" t="s">
        <v>4</v>
      </c>
      <c r="E617" s="2" t="s">
        <v>67</v>
      </c>
      <c r="F617" s="2" t="s">
        <v>68</v>
      </c>
      <c r="G617" s="2" t="s">
        <v>9</v>
      </c>
      <c r="H617" s="2" t="s">
        <v>126</v>
      </c>
      <c r="I617" s="2" t="s">
        <v>126</v>
      </c>
      <c r="J617" s="2" t="s">
        <v>14</v>
      </c>
      <c r="K617" s="2" t="s">
        <v>22</v>
      </c>
      <c r="L617" s="2">
        <v>9</v>
      </c>
      <c r="M617" s="2">
        <v>12662</v>
      </c>
      <c r="N617" s="2">
        <v>20</v>
      </c>
      <c r="O617" s="2">
        <v>91166.399999999994</v>
      </c>
      <c r="P617" s="6">
        <v>22756.14</v>
      </c>
    </row>
    <row r="618" spans="1:16" x14ac:dyDescent="0.3">
      <c r="A618" s="5" t="s">
        <v>1056</v>
      </c>
      <c r="B618" s="2" t="s">
        <v>181</v>
      </c>
      <c r="C618" s="2" t="str">
        <f t="shared" si="9"/>
        <v>March</v>
      </c>
      <c r="D618" s="2" t="s">
        <v>2</v>
      </c>
      <c r="E618" s="2" t="s">
        <v>103</v>
      </c>
      <c r="F618" s="2" t="s">
        <v>104</v>
      </c>
      <c r="G618" s="2" t="s">
        <v>8</v>
      </c>
      <c r="H618" s="2" t="s">
        <v>76</v>
      </c>
      <c r="I618" s="2" t="s">
        <v>76</v>
      </c>
      <c r="J618" s="2" t="s">
        <v>16</v>
      </c>
      <c r="K618" s="2" t="s">
        <v>22</v>
      </c>
      <c r="L618" s="2">
        <v>7</v>
      </c>
      <c r="M618" s="2">
        <v>21771</v>
      </c>
      <c r="N618" s="2">
        <v>0</v>
      </c>
      <c r="O618" s="2">
        <v>152397</v>
      </c>
      <c r="P618" s="6">
        <v>27048.13</v>
      </c>
    </row>
    <row r="619" spans="1:16" x14ac:dyDescent="0.3">
      <c r="A619" s="5" t="s">
        <v>1057</v>
      </c>
      <c r="B619" s="2" t="s">
        <v>215</v>
      </c>
      <c r="C619" s="2" t="str">
        <f t="shared" si="9"/>
        <v>March</v>
      </c>
      <c r="D619" s="2" t="s">
        <v>3</v>
      </c>
      <c r="E619" s="2" t="s">
        <v>117</v>
      </c>
      <c r="F619" s="2" t="s">
        <v>117</v>
      </c>
      <c r="G619" s="2" t="s">
        <v>9</v>
      </c>
      <c r="H619" s="2" t="s">
        <v>72</v>
      </c>
      <c r="I619" s="2" t="s">
        <v>72</v>
      </c>
      <c r="J619" s="2" t="s">
        <v>19</v>
      </c>
      <c r="K619" s="2" t="s">
        <v>22</v>
      </c>
      <c r="L619" s="2">
        <v>4</v>
      </c>
      <c r="M619" s="2">
        <v>4699</v>
      </c>
      <c r="N619" s="2">
        <v>10</v>
      </c>
      <c r="O619" s="2">
        <v>16916.400000000001</v>
      </c>
      <c r="P619" s="6">
        <v>2436.17</v>
      </c>
    </row>
    <row r="620" spans="1:16" x14ac:dyDescent="0.3">
      <c r="A620" s="5" t="s">
        <v>1058</v>
      </c>
      <c r="B620" s="2" t="s">
        <v>410</v>
      </c>
      <c r="C620" s="2" t="str">
        <f t="shared" si="9"/>
        <v>February</v>
      </c>
      <c r="D620" s="2" t="s">
        <v>4</v>
      </c>
      <c r="E620" s="2" t="s">
        <v>62</v>
      </c>
      <c r="F620" s="2" t="s">
        <v>63</v>
      </c>
      <c r="G620" s="2" t="s">
        <v>10</v>
      </c>
      <c r="H620" s="2" t="s">
        <v>100</v>
      </c>
      <c r="I620" s="2" t="s">
        <v>100</v>
      </c>
      <c r="J620" s="2" t="s">
        <v>14</v>
      </c>
      <c r="K620" s="2" t="s">
        <v>21</v>
      </c>
      <c r="L620" s="2">
        <v>9</v>
      </c>
      <c r="M620" s="2">
        <v>17328</v>
      </c>
      <c r="N620" s="2">
        <v>0</v>
      </c>
      <c r="O620" s="2">
        <v>155952</v>
      </c>
      <c r="P620" s="6">
        <v>21840.2</v>
      </c>
    </row>
    <row r="621" spans="1:16" x14ac:dyDescent="0.3">
      <c r="A621" s="5" t="s">
        <v>1059</v>
      </c>
      <c r="B621" s="2" t="s">
        <v>1060</v>
      </c>
      <c r="C621" s="2" t="str">
        <f t="shared" si="9"/>
        <v>May</v>
      </c>
      <c r="D621" s="2" t="s">
        <v>2</v>
      </c>
      <c r="E621" s="2" t="s">
        <v>103</v>
      </c>
      <c r="F621" s="2" t="s">
        <v>104</v>
      </c>
      <c r="G621" s="2" t="s">
        <v>10</v>
      </c>
      <c r="H621" s="2" t="s">
        <v>100</v>
      </c>
      <c r="I621" s="2" t="s">
        <v>100</v>
      </c>
      <c r="J621" s="2" t="s">
        <v>18</v>
      </c>
      <c r="K621" s="2" t="s">
        <v>21</v>
      </c>
      <c r="L621" s="2">
        <v>8</v>
      </c>
      <c r="M621" s="2">
        <v>18484</v>
      </c>
      <c r="N621" s="2">
        <v>20</v>
      </c>
      <c r="O621" s="2">
        <v>118297.60000000001</v>
      </c>
      <c r="P621" s="6">
        <v>18687.04</v>
      </c>
    </row>
    <row r="622" spans="1:16" x14ac:dyDescent="0.3">
      <c r="A622" s="5" t="s">
        <v>1061</v>
      </c>
      <c r="B622" s="2" t="s">
        <v>858</v>
      </c>
      <c r="C622" s="2" t="str">
        <f t="shared" si="9"/>
        <v>January</v>
      </c>
      <c r="D622" s="2" t="s">
        <v>3</v>
      </c>
      <c r="E622" s="2" t="s">
        <v>75</v>
      </c>
      <c r="F622" s="2" t="s">
        <v>75</v>
      </c>
      <c r="G622" s="2" t="s">
        <v>9</v>
      </c>
      <c r="H622" s="2" t="s">
        <v>90</v>
      </c>
      <c r="I622" s="2" t="s">
        <v>90</v>
      </c>
      <c r="J622" s="2" t="s">
        <v>13</v>
      </c>
      <c r="K622" s="2" t="s">
        <v>22</v>
      </c>
      <c r="L622" s="2">
        <v>5</v>
      </c>
      <c r="M622" s="2">
        <v>19550</v>
      </c>
      <c r="N622" s="2">
        <v>20</v>
      </c>
      <c r="O622" s="2">
        <v>78200</v>
      </c>
      <c r="P622" s="6">
        <v>4156.37</v>
      </c>
    </row>
    <row r="623" spans="1:16" x14ac:dyDescent="0.3">
      <c r="A623" s="5" t="s">
        <v>1062</v>
      </c>
      <c r="B623" s="2" t="s">
        <v>769</v>
      </c>
      <c r="C623" s="2" t="str">
        <f t="shared" si="9"/>
        <v>May</v>
      </c>
      <c r="D623" s="2" t="s">
        <v>5</v>
      </c>
      <c r="E623" s="2" t="s">
        <v>57</v>
      </c>
      <c r="F623" s="2" t="s">
        <v>58</v>
      </c>
      <c r="G623" s="2" t="s">
        <v>10</v>
      </c>
      <c r="H623" s="2" t="s">
        <v>83</v>
      </c>
      <c r="I623" s="2" t="s">
        <v>83</v>
      </c>
      <c r="J623" s="2" t="s">
        <v>12</v>
      </c>
      <c r="K623" s="2" t="s">
        <v>21</v>
      </c>
      <c r="L623" s="2">
        <v>2</v>
      </c>
      <c r="M623" s="2">
        <v>29337</v>
      </c>
      <c r="N623" s="2">
        <v>10</v>
      </c>
      <c r="O623" s="2">
        <v>52806.6</v>
      </c>
      <c r="P623" s="6">
        <v>14301.59</v>
      </c>
    </row>
    <row r="624" spans="1:16" x14ac:dyDescent="0.3">
      <c r="A624" s="5" t="s">
        <v>1063</v>
      </c>
      <c r="B624" s="2" t="s">
        <v>1018</v>
      </c>
      <c r="C624" s="2" t="str">
        <f t="shared" si="9"/>
        <v>March</v>
      </c>
      <c r="D624" s="2" t="s">
        <v>2</v>
      </c>
      <c r="E624" s="2" t="s">
        <v>103</v>
      </c>
      <c r="F624" s="2" t="s">
        <v>104</v>
      </c>
      <c r="G624" s="2" t="s">
        <v>8</v>
      </c>
      <c r="H624" s="2" t="s">
        <v>76</v>
      </c>
      <c r="I624" s="2" t="s">
        <v>76</v>
      </c>
      <c r="J624" s="2" t="s">
        <v>13</v>
      </c>
      <c r="K624" s="2" t="s">
        <v>21</v>
      </c>
      <c r="L624" s="2">
        <v>3</v>
      </c>
      <c r="M624" s="2">
        <v>45483</v>
      </c>
      <c r="N624" s="2">
        <v>10</v>
      </c>
      <c r="O624" s="2">
        <v>122804.1</v>
      </c>
      <c r="P624" s="6">
        <v>21476.22</v>
      </c>
    </row>
    <row r="625" spans="1:16" x14ac:dyDescent="0.3">
      <c r="A625" s="5" t="s">
        <v>1064</v>
      </c>
      <c r="B625" s="2" t="s">
        <v>1065</v>
      </c>
      <c r="C625" s="2" t="str">
        <f t="shared" si="9"/>
        <v>September</v>
      </c>
      <c r="D625" s="2" t="s">
        <v>2</v>
      </c>
      <c r="E625" s="2" t="s">
        <v>81</v>
      </c>
      <c r="F625" s="2" t="s">
        <v>82</v>
      </c>
      <c r="G625" s="2" t="s">
        <v>9</v>
      </c>
      <c r="H625" s="2" t="s">
        <v>59</v>
      </c>
      <c r="I625" s="2" t="s">
        <v>59</v>
      </c>
      <c r="J625" s="2" t="s">
        <v>17</v>
      </c>
      <c r="K625" s="2" t="s">
        <v>21</v>
      </c>
      <c r="L625" s="2">
        <v>6</v>
      </c>
      <c r="M625" s="2">
        <v>8351</v>
      </c>
      <c r="N625" s="2">
        <v>20</v>
      </c>
      <c r="O625" s="2">
        <v>40084.800000000003</v>
      </c>
      <c r="P625" s="6">
        <v>3723.14</v>
      </c>
    </row>
    <row r="626" spans="1:16" x14ac:dyDescent="0.3">
      <c r="A626" s="5" t="s">
        <v>1066</v>
      </c>
      <c r="B626" s="2" t="s">
        <v>1067</v>
      </c>
      <c r="C626" s="2" t="str">
        <f t="shared" si="9"/>
        <v>January</v>
      </c>
      <c r="D626" s="2" t="s">
        <v>2</v>
      </c>
      <c r="E626" s="2" t="s">
        <v>103</v>
      </c>
      <c r="F626" s="2" t="s">
        <v>104</v>
      </c>
      <c r="G626" s="2" t="s">
        <v>9</v>
      </c>
      <c r="H626" s="2" t="s">
        <v>59</v>
      </c>
      <c r="I626" s="2" t="s">
        <v>59</v>
      </c>
      <c r="J626" s="2" t="s">
        <v>19</v>
      </c>
      <c r="K626" s="2" t="s">
        <v>22</v>
      </c>
      <c r="L626" s="2">
        <v>8</v>
      </c>
      <c r="M626" s="2">
        <v>29913</v>
      </c>
      <c r="N626" s="2">
        <v>10</v>
      </c>
      <c r="O626" s="2">
        <v>215373.6</v>
      </c>
      <c r="P626" s="6">
        <v>24150.98</v>
      </c>
    </row>
    <row r="627" spans="1:16" x14ac:dyDescent="0.3">
      <c r="A627" s="5" t="s">
        <v>1068</v>
      </c>
      <c r="B627" s="2" t="s">
        <v>1069</v>
      </c>
      <c r="C627" s="2" t="str">
        <f t="shared" si="9"/>
        <v>October</v>
      </c>
      <c r="D627" s="2" t="s">
        <v>3</v>
      </c>
      <c r="E627" s="2" t="s">
        <v>75</v>
      </c>
      <c r="F627" s="2" t="s">
        <v>75</v>
      </c>
      <c r="G627" s="2" t="s">
        <v>8</v>
      </c>
      <c r="H627" s="2" t="s">
        <v>133</v>
      </c>
      <c r="I627" s="2" t="s">
        <v>133</v>
      </c>
      <c r="J627" s="2" t="s">
        <v>15</v>
      </c>
      <c r="K627" s="2" t="s">
        <v>21</v>
      </c>
      <c r="L627" s="2">
        <v>9</v>
      </c>
      <c r="M627" s="2">
        <v>46998</v>
      </c>
      <c r="N627" s="2">
        <v>5</v>
      </c>
      <c r="O627" s="2">
        <v>401832.9</v>
      </c>
      <c r="P627" s="6">
        <v>23575.77</v>
      </c>
    </row>
    <row r="628" spans="1:16" x14ac:dyDescent="0.3">
      <c r="A628" s="5" t="s">
        <v>1070</v>
      </c>
      <c r="B628" s="2" t="s">
        <v>1071</v>
      </c>
      <c r="C628" s="2" t="str">
        <f t="shared" si="9"/>
        <v>November</v>
      </c>
      <c r="D628" s="2" t="s">
        <v>2</v>
      </c>
      <c r="E628" s="2" t="s">
        <v>81</v>
      </c>
      <c r="F628" s="2" t="s">
        <v>82</v>
      </c>
      <c r="G628" s="2" t="s">
        <v>8</v>
      </c>
      <c r="H628" s="2" t="s">
        <v>76</v>
      </c>
      <c r="I628" s="2" t="s">
        <v>76</v>
      </c>
      <c r="J628" s="2" t="s">
        <v>16</v>
      </c>
      <c r="K628" s="2" t="s">
        <v>21</v>
      </c>
      <c r="L628" s="2">
        <v>9</v>
      </c>
      <c r="M628" s="2">
        <v>33481</v>
      </c>
      <c r="N628" s="2">
        <v>20</v>
      </c>
      <c r="O628" s="2">
        <v>241063.2</v>
      </c>
      <c r="P628" s="6">
        <v>66783.06</v>
      </c>
    </row>
    <row r="629" spans="1:16" x14ac:dyDescent="0.3">
      <c r="A629" s="5" t="s">
        <v>1072</v>
      </c>
      <c r="B629" s="2" t="s">
        <v>493</v>
      </c>
      <c r="C629" s="2" t="str">
        <f t="shared" si="9"/>
        <v>January</v>
      </c>
      <c r="D629" s="2" t="s">
        <v>3</v>
      </c>
      <c r="E629" s="2" t="s">
        <v>75</v>
      </c>
      <c r="F629" s="2" t="s">
        <v>75</v>
      </c>
      <c r="G629" s="2" t="s">
        <v>9</v>
      </c>
      <c r="H629" s="2" t="s">
        <v>90</v>
      </c>
      <c r="I629" s="2" t="s">
        <v>90</v>
      </c>
      <c r="J629" s="2" t="s">
        <v>12</v>
      </c>
      <c r="K629" s="2" t="s">
        <v>21</v>
      </c>
      <c r="L629" s="2">
        <v>5</v>
      </c>
      <c r="M629" s="2">
        <v>13876</v>
      </c>
      <c r="N629" s="2">
        <v>5</v>
      </c>
      <c r="O629" s="2">
        <v>65911</v>
      </c>
      <c r="P629" s="6">
        <v>7065.2</v>
      </c>
    </row>
    <row r="630" spans="1:16" x14ac:dyDescent="0.3">
      <c r="A630" s="5" t="s">
        <v>1073</v>
      </c>
      <c r="B630" s="2" t="s">
        <v>906</v>
      </c>
      <c r="C630" s="2" t="str">
        <f t="shared" si="9"/>
        <v>February</v>
      </c>
      <c r="D630" s="2" t="s">
        <v>3</v>
      </c>
      <c r="E630" s="2" t="s">
        <v>117</v>
      </c>
      <c r="F630" s="2" t="s">
        <v>117</v>
      </c>
      <c r="G630" s="2" t="s">
        <v>9</v>
      </c>
      <c r="H630" s="2" t="s">
        <v>72</v>
      </c>
      <c r="I630" s="2" t="s">
        <v>72</v>
      </c>
      <c r="J630" s="2" t="s">
        <v>14</v>
      </c>
      <c r="K630" s="2" t="s">
        <v>22</v>
      </c>
      <c r="L630" s="2">
        <v>2</v>
      </c>
      <c r="M630" s="2">
        <v>7325</v>
      </c>
      <c r="N630" s="2">
        <v>0</v>
      </c>
      <c r="O630" s="2">
        <v>14650</v>
      </c>
      <c r="P630" s="6">
        <v>3682.44</v>
      </c>
    </row>
    <row r="631" spans="1:16" x14ac:dyDescent="0.3">
      <c r="A631" s="5" t="s">
        <v>1074</v>
      </c>
      <c r="B631" s="2" t="s">
        <v>1075</v>
      </c>
      <c r="C631" s="2" t="str">
        <f t="shared" si="9"/>
        <v>April</v>
      </c>
      <c r="D631" s="2" t="s">
        <v>2</v>
      </c>
      <c r="E631" s="2" t="s">
        <v>81</v>
      </c>
      <c r="F631" s="2" t="s">
        <v>82</v>
      </c>
      <c r="G631" s="2" t="s">
        <v>8</v>
      </c>
      <c r="H631" s="2" t="s">
        <v>64</v>
      </c>
      <c r="I631" s="2" t="s">
        <v>64</v>
      </c>
      <c r="J631" s="2" t="s">
        <v>16</v>
      </c>
      <c r="K631" s="2" t="s">
        <v>21</v>
      </c>
      <c r="L631" s="2">
        <v>6</v>
      </c>
      <c r="M631" s="2">
        <v>5105</v>
      </c>
      <c r="N631" s="2">
        <v>5</v>
      </c>
      <c r="O631" s="2">
        <v>29098.5</v>
      </c>
      <c r="P631" s="6">
        <v>6813.29</v>
      </c>
    </row>
    <row r="632" spans="1:16" x14ac:dyDescent="0.3">
      <c r="A632" s="5" t="s">
        <v>1076</v>
      </c>
      <c r="B632" s="2" t="s">
        <v>1077</v>
      </c>
      <c r="C632" s="2" t="str">
        <f t="shared" si="9"/>
        <v>March</v>
      </c>
      <c r="D632" s="2" t="s">
        <v>2</v>
      </c>
      <c r="E632" s="2" t="s">
        <v>103</v>
      </c>
      <c r="F632" s="2" t="s">
        <v>104</v>
      </c>
      <c r="G632" s="2" t="s">
        <v>9</v>
      </c>
      <c r="H632" s="2" t="s">
        <v>59</v>
      </c>
      <c r="I632" s="2" t="s">
        <v>59</v>
      </c>
      <c r="J632" s="2" t="s">
        <v>12</v>
      </c>
      <c r="K632" s="2" t="s">
        <v>22</v>
      </c>
      <c r="L632" s="2">
        <v>4</v>
      </c>
      <c r="M632" s="2">
        <v>1045</v>
      </c>
      <c r="N632" s="2">
        <v>5</v>
      </c>
      <c r="O632" s="2">
        <v>3971</v>
      </c>
      <c r="P632" s="6">
        <v>503.59</v>
      </c>
    </row>
    <row r="633" spans="1:16" x14ac:dyDescent="0.3">
      <c r="A633" s="5" t="s">
        <v>1078</v>
      </c>
      <c r="B633" s="2" t="s">
        <v>125</v>
      </c>
      <c r="C633" s="2" t="str">
        <f t="shared" si="9"/>
        <v>December</v>
      </c>
      <c r="D633" s="2" t="s">
        <v>3</v>
      </c>
      <c r="E633" s="2" t="s">
        <v>75</v>
      </c>
      <c r="F633" s="2" t="s">
        <v>75</v>
      </c>
      <c r="G633" s="2" t="s">
        <v>8</v>
      </c>
      <c r="H633" s="2" t="s">
        <v>64</v>
      </c>
      <c r="I633" s="2" t="s">
        <v>64</v>
      </c>
      <c r="J633" s="2" t="s">
        <v>13</v>
      </c>
      <c r="K633" s="2" t="s">
        <v>22</v>
      </c>
      <c r="L633" s="2">
        <v>4</v>
      </c>
      <c r="M633" s="2">
        <v>34876</v>
      </c>
      <c r="N633" s="2">
        <v>20</v>
      </c>
      <c r="O633" s="2">
        <v>111603.2</v>
      </c>
      <c r="P633" s="6">
        <v>5711.1</v>
      </c>
    </row>
    <row r="634" spans="1:16" x14ac:dyDescent="0.3">
      <c r="A634" s="5" t="s">
        <v>1079</v>
      </c>
      <c r="B634" s="2" t="s">
        <v>1080</v>
      </c>
      <c r="C634" s="2" t="str">
        <f t="shared" si="9"/>
        <v>April</v>
      </c>
      <c r="D634" s="2" t="s">
        <v>3</v>
      </c>
      <c r="E634" s="2" t="s">
        <v>117</v>
      </c>
      <c r="F634" s="2" t="s">
        <v>117</v>
      </c>
      <c r="G634" s="2" t="s">
        <v>8</v>
      </c>
      <c r="H634" s="2" t="s">
        <v>93</v>
      </c>
      <c r="I634" s="2" t="s">
        <v>93</v>
      </c>
      <c r="J634" s="2" t="s">
        <v>17</v>
      </c>
      <c r="K634" s="2" t="s">
        <v>21</v>
      </c>
      <c r="L634" s="2">
        <v>7</v>
      </c>
      <c r="M634" s="2">
        <v>30208</v>
      </c>
      <c r="N634" s="2">
        <v>0</v>
      </c>
      <c r="O634" s="2">
        <v>211456</v>
      </c>
      <c r="P634" s="6">
        <v>33601.75</v>
      </c>
    </row>
    <row r="635" spans="1:16" x14ac:dyDescent="0.3">
      <c r="A635" s="5" t="s">
        <v>1081</v>
      </c>
      <c r="B635" s="2" t="s">
        <v>1082</v>
      </c>
      <c r="C635" s="2" t="str">
        <f t="shared" si="9"/>
        <v>July</v>
      </c>
      <c r="D635" s="2" t="s">
        <v>3</v>
      </c>
      <c r="E635" s="2" t="s">
        <v>117</v>
      </c>
      <c r="F635" s="2" t="s">
        <v>117</v>
      </c>
      <c r="G635" s="2" t="s">
        <v>10</v>
      </c>
      <c r="H635" s="2" t="s">
        <v>100</v>
      </c>
      <c r="I635" s="2" t="s">
        <v>100</v>
      </c>
      <c r="J635" s="2" t="s">
        <v>13</v>
      </c>
      <c r="K635" s="2" t="s">
        <v>21</v>
      </c>
      <c r="L635" s="2">
        <v>8</v>
      </c>
      <c r="M635" s="2">
        <v>45359</v>
      </c>
      <c r="N635" s="2">
        <v>15</v>
      </c>
      <c r="O635" s="2">
        <v>308441.2</v>
      </c>
      <c r="P635" s="6">
        <v>82774.149999999994</v>
      </c>
    </row>
    <row r="636" spans="1:16" x14ac:dyDescent="0.3">
      <c r="A636" s="5" t="s">
        <v>1083</v>
      </c>
      <c r="B636" s="2" t="s">
        <v>1084</v>
      </c>
      <c r="C636" s="2" t="str">
        <f t="shared" si="9"/>
        <v>May</v>
      </c>
      <c r="D636" s="2" t="s">
        <v>5</v>
      </c>
      <c r="E636" s="2" t="s">
        <v>52</v>
      </c>
      <c r="F636" s="2" t="s">
        <v>53</v>
      </c>
      <c r="G636" s="2" t="s">
        <v>8</v>
      </c>
      <c r="H636" s="2" t="s">
        <v>76</v>
      </c>
      <c r="I636" s="2" t="s">
        <v>76</v>
      </c>
      <c r="J636" s="2" t="s">
        <v>14</v>
      </c>
      <c r="K636" s="2" t="s">
        <v>21</v>
      </c>
      <c r="L636" s="2">
        <v>8</v>
      </c>
      <c r="M636" s="2">
        <v>35682</v>
      </c>
      <c r="N636" s="2">
        <v>15</v>
      </c>
      <c r="O636" s="2">
        <v>242637.6</v>
      </c>
      <c r="P636" s="6">
        <v>56950.95</v>
      </c>
    </row>
    <row r="637" spans="1:16" x14ac:dyDescent="0.3">
      <c r="A637" s="5" t="s">
        <v>1085</v>
      </c>
      <c r="B637" s="2" t="s">
        <v>636</v>
      </c>
      <c r="C637" s="2" t="str">
        <f t="shared" si="9"/>
        <v>May</v>
      </c>
      <c r="D637" s="2" t="s">
        <v>2</v>
      </c>
      <c r="E637" s="2" t="s">
        <v>103</v>
      </c>
      <c r="F637" s="2" t="s">
        <v>104</v>
      </c>
      <c r="G637" s="2" t="s">
        <v>8</v>
      </c>
      <c r="H637" s="2" t="s">
        <v>93</v>
      </c>
      <c r="I637" s="2" t="s">
        <v>93</v>
      </c>
      <c r="J637" s="2" t="s">
        <v>19</v>
      </c>
      <c r="K637" s="2" t="s">
        <v>21</v>
      </c>
      <c r="L637" s="2">
        <v>9</v>
      </c>
      <c r="M637" s="2">
        <v>39052</v>
      </c>
      <c r="N637" s="2">
        <v>10</v>
      </c>
      <c r="O637" s="2">
        <v>316321.2</v>
      </c>
      <c r="P637" s="6">
        <v>38324.93</v>
      </c>
    </row>
    <row r="638" spans="1:16" x14ac:dyDescent="0.3">
      <c r="A638" s="5" t="s">
        <v>1086</v>
      </c>
      <c r="B638" s="2" t="s">
        <v>183</v>
      </c>
      <c r="C638" s="2" t="str">
        <f t="shared" si="9"/>
        <v>March</v>
      </c>
      <c r="D638" s="2" t="s">
        <v>2</v>
      </c>
      <c r="E638" s="2" t="s">
        <v>103</v>
      </c>
      <c r="F638" s="2" t="s">
        <v>104</v>
      </c>
      <c r="G638" s="2" t="s">
        <v>8</v>
      </c>
      <c r="H638" s="2" t="s">
        <v>133</v>
      </c>
      <c r="I638" s="2" t="s">
        <v>133</v>
      </c>
      <c r="J638" s="2" t="s">
        <v>12</v>
      </c>
      <c r="K638" s="2" t="s">
        <v>22</v>
      </c>
      <c r="L638" s="2">
        <v>1</v>
      </c>
      <c r="M638" s="2">
        <v>5322</v>
      </c>
      <c r="N638" s="2">
        <v>0</v>
      </c>
      <c r="O638" s="2">
        <v>5322</v>
      </c>
      <c r="P638" s="6">
        <v>1115.58</v>
      </c>
    </row>
    <row r="639" spans="1:16" x14ac:dyDescent="0.3">
      <c r="A639" s="5" t="s">
        <v>1087</v>
      </c>
      <c r="B639" s="2" t="s">
        <v>514</v>
      </c>
      <c r="C639" s="2" t="str">
        <f t="shared" si="9"/>
        <v>September</v>
      </c>
      <c r="D639" s="2" t="s">
        <v>4</v>
      </c>
      <c r="E639" s="2" t="s">
        <v>62</v>
      </c>
      <c r="F639" s="2" t="s">
        <v>63</v>
      </c>
      <c r="G639" s="2" t="s">
        <v>10</v>
      </c>
      <c r="H639" s="2" t="s">
        <v>69</v>
      </c>
      <c r="I639" s="2" t="s">
        <v>69</v>
      </c>
      <c r="J639" s="2" t="s">
        <v>18</v>
      </c>
      <c r="K639" s="2" t="s">
        <v>21</v>
      </c>
      <c r="L639" s="2">
        <v>2</v>
      </c>
      <c r="M639" s="2">
        <v>31360</v>
      </c>
      <c r="N639" s="2">
        <v>10</v>
      </c>
      <c r="O639" s="2">
        <v>56448</v>
      </c>
      <c r="P639" s="6">
        <v>5358.44</v>
      </c>
    </row>
    <row r="640" spans="1:16" x14ac:dyDescent="0.3">
      <c r="A640" s="5" t="s">
        <v>1088</v>
      </c>
      <c r="B640" s="2" t="s">
        <v>1089</v>
      </c>
      <c r="C640" s="2" t="str">
        <f t="shared" si="9"/>
        <v>July</v>
      </c>
      <c r="D640" s="2" t="s">
        <v>2</v>
      </c>
      <c r="E640" s="2" t="s">
        <v>103</v>
      </c>
      <c r="F640" s="2" t="s">
        <v>104</v>
      </c>
      <c r="G640" s="2" t="s">
        <v>9</v>
      </c>
      <c r="H640" s="2" t="s">
        <v>59</v>
      </c>
      <c r="I640" s="2" t="s">
        <v>59</v>
      </c>
      <c r="J640" s="2" t="s">
        <v>16</v>
      </c>
      <c r="K640" s="2" t="s">
        <v>22</v>
      </c>
      <c r="L640" s="2">
        <v>6</v>
      </c>
      <c r="M640" s="2">
        <v>33360</v>
      </c>
      <c r="N640" s="2">
        <v>0</v>
      </c>
      <c r="O640" s="2">
        <v>200160</v>
      </c>
      <c r="P640" s="6">
        <v>49200.959999999999</v>
      </c>
    </row>
    <row r="641" spans="1:16" x14ac:dyDescent="0.3">
      <c r="A641" s="5" t="s">
        <v>1090</v>
      </c>
      <c r="B641" s="2" t="s">
        <v>1091</v>
      </c>
      <c r="C641" s="2" t="str">
        <f t="shared" si="9"/>
        <v>January</v>
      </c>
      <c r="D641" s="2" t="s">
        <v>4</v>
      </c>
      <c r="E641" s="2" t="s">
        <v>67</v>
      </c>
      <c r="F641" s="2" t="s">
        <v>68</v>
      </c>
      <c r="G641" s="2" t="s">
        <v>8</v>
      </c>
      <c r="H641" s="2" t="s">
        <v>76</v>
      </c>
      <c r="I641" s="2" t="s">
        <v>76</v>
      </c>
      <c r="J641" s="2" t="s">
        <v>15</v>
      </c>
      <c r="K641" s="2" t="s">
        <v>22</v>
      </c>
      <c r="L641" s="2">
        <v>2</v>
      </c>
      <c r="M641" s="2">
        <v>14804</v>
      </c>
      <c r="N641" s="2">
        <v>0</v>
      </c>
      <c r="O641" s="2">
        <v>29608</v>
      </c>
      <c r="P641" s="6">
        <v>4247.3</v>
      </c>
    </row>
    <row r="642" spans="1:16" x14ac:dyDescent="0.3">
      <c r="A642" s="5" t="s">
        <v>1092</v>
      </c>
      <c r="B642" s="2" t="s">
        <v>643</v>
      </c>
      <c r="C642" s="2" t="str">
        <f t="shared" si="9"/>
        <v>September</v>
      </c>
      <c r="D642" s="2" t="s">
        <v>5</v>
      </c>
      <c r="E642" s="2" t="s">
        <v>52</v>
      </c>
      <c r="F642" s="2" t="s">
        <v>53</v>
      </c>
      <c r="G642" s="2" t="s">
        <v>8</v>
      </c>
      <c r="H642" s="2" t="s">
        <v>76</v>
      </c>
      <c r="I642" s="2" t="s">
        <v>76</v>
      </c>
      <c r="J642" s="2" t="s">
        <v>12</v>
      </c>
      <c r="K642" s="2" t="s">
        <v>21</v>
      </c>
      <c r="L642" s="2">
        <v>10</v>
      </c>
      <c r="M642" s="2">
        <v>16037</v>
      </c>
      <c r="N642" s="2">
        <v>15</v>
      </c>
      <c r="O642" s="2">
        <v>136314.5</v>
      </c>
      <c r="P642" s="6">
        <v>11769.04</v>
      </c>
    </row>
    <row r="643" spans="1:16" x14ac:dyDescent="0.3">
      <c r="A643" s="5" t="s">
        <v>1093</v>
      </c>
      <c r="B643" s="2" t="s">
        <v>422</v>
      </c>
      <c r="C643" s="2" t="str">
        <f t="shared" ref="C643:C706" si="10">TEXT(B643,"mmmm")</f>
        <v>January</v>
      </c>
      <c r="D643" s="2" t="s">
        <v>4</v>
      </c>
      <c r="E643" s="2" t="s">
        <v>67</v>
      </c>
      <c r="F643" s="2" t="s">
        <v>68</v>
      </c>
      <c r="G643" s="2" t="s">
        <v>9</v>
      </c>
      <c r="H643" s="2" t="s">
        <v>126</v>
      </c>
      <c r="I643" s="2" t="s">
        <v>126</v>
      </c>
      <c r="J643" s="2" t="s">
        <v>12</v>
      </c>
      <c r="K643" s="2" t="s">
        <v>21</v>
      </c>
      <c r="L643" s="2">
        <v>4</v>
      </c>
      <c r="M643" s="2">
        <v>39632</v>
      </c>
      <c r="N643" s="2">
        <v>15</v>
      </c>
      <c r="O643" s="2">
        <v>134748.79999999999</v>
      </c>
      <c r="P643" s="6">
        <v>7977.62</v>
      </c>
    </row>
    <row r="644" spans="1:16" x14ac:dyDescent="0.3">
      <c r="A644" s="5" t="s">
        <v>1094</v>
      </c>
      <c r="B644" s="2" t="s">
        <v>291</v>
      </c>
      <c r="C644" s="2" t="str">
        <f t="shared" si="10"/>
        <v>July</v>
      </c>
      <c r="D644" s="2" t="s">
        <v>3</v>
      </c>
      <c r="E644" s="2" t="s">
        <v>117</v>
      </c>
      <c r="F644" s="2" t="s">
        <v>117</v>
      </c>
      <c r="G644" s="2" t="s">
        <v>8</v>
      </c>
      <c r="H644" s="2" t="s">
        <v>93</v>
      </c>
      <c r="I644" s="2" t="s">
        <v>93</v>
      </c>
      <c r="J644" s="2" t="s">
        <v>17</v>
      </c>
      <c r="K644" s="2" t="s">
        <v>21</v>
      </c>
      <c r="L644" s="2">
        <v>6</v>
      </c>
      <c r="M644" s="2">
        <v>23399</v>
      </c>
      <c r="N644" s="2">
        <v>5</v>
      </c>
      <c r="O644" s="2">
        <v>133374.29999999999</v>
      </c>
      <c r="P644" s="6">
        <v>8110.07</v>
      </c>
    </row>
    <row r="645" spans="1:16" x14ac:dyDescent="0.3">
      <c r="A645" s="5" t="s">
        <v>1095</v>
      </c>
      <c r="B645" s="2" t="s">
        <v>505</v>
      </c>
      <c r="C645" s="2" t="str">
        <f t="shared" si="10"/>
        <v>November</v>
      </c>
      <c r="D645" s="2" t="s">
        <v>5</v>
      </c>
      <c r="E645" s="2" t="s">
        <v>57</v>
      </c>
      <c r="F645" s="2" t="s">
        <v>58</v>
      </c>
      <c r="G645" s="2" t="s">
        <v>8</v>
      </c>
      <c r="H645" s="2" t="s">
        <v>133</v>
      </c>
      <c r="I645" s="2" t="s">
        <v>133</v>
      </c>
      <c r="J645" s="2" t="s">
        <v>14</v>
      </c>
      <c r="K645" s="2" t="s">
        <v>22</v>
      </c>
      <c r="L645" s="2">
        <v>9</v>
      </c>
      <c r="M645" s="2">
        <v>42628</v>
      </c>
      <c r="N645" s="2">
        <v>20</v>
      </c>
      <c r="O645" s="2">
        <v>306921.59999999998</v>
      </c>
      <c r="P645" s="6">
        <v>46629.72</v>
      </c>
    </row>
    <row r="646" spans="1:16" x14ac:dyDescent="0.3">
      <c r="A646" s="5" t="s">
        <v>1096</v>
      </c>
      <c r="B646" s="2" t="s">
        <v>236</v>
      </c>
      <c r="C646" s="2" t="str">
        <f t="shared" si="10"/>
        <v>February</v>
      </c>
      <c r="D646" s="2" t="s">
        <v>4</v>
      </c>
      <c r="E646" s="2" t="s">
        <v>62</v>
      </c>
      <c r="F646" s="2" t="s">
        <v>63</v>
      </c>
      <c r="G646" s="2" t="s">
        <v>8</v>
      </c>
      <c r="H646" s="2" t="s">
        <v>93</v>
      </c>
      <c r="I646" s="2" t="s">
        <v>93</v>
      </c>
      <c r="J646" s="2" t="s">
        <v>18</v>
      </c>
      <c r="K646" s="2" t="s">
        <v>21</v>
      </c>
      <c r="L646" s="2">
        <v>3</v>
      </c>
      <c r="M646" s="2">
        <v>2961</v>
      </c>
      <c r="N646" s="2">
        <v>20</v>
      </c>
      <c r="O646" s="2">
        <v>7106.4</v>
      </c>
      <c r="P646" s="6">
        <v>1038.04</v>
      </c>
    </row>
    <row r="647" spans="1:16" x14ac:dyDescent="0.3">
      <c r="A647" s="5" t="s">
        <v>1097</v>
      </c>
      <c r="B647" s="2" t="s">
        <v>868</v>
      </c>
      <c r="C647" s="2" t="str">
        <f t="shared" si="10"/>
        <v>June</v>
      </c>
      <c r="D647" s="2" t="s">
        <v>2</v>
      </c>
      <c r="E647" s="2" t="s">
        <v>81</v>
      </c>
      <c r="F647" s="2" t="s">
        <v>82</v>
      </c>
      <c r="G647" s="2" t="s">
        <v>9</v>
      </c>
      <c r="H647" s="2" t="s">
        <v>72</v>
      </c>
      <c r="I647" s="2" t="s">
        <v>72</v>
      </c>
      <c r="J647" s="2" t="s">
        <v>12</v>
      </c>
      <c r="K647" s="2" t="s">
        <v>22</v>
      </c>
      <c r="L647" s="2">
        <v>1</v>
      </c>
      <c r="M647" s="2">
        <v>42422</v>
      </c>
      <c r="N647" s="2">
        <v>15</v>
      </c>
      <c r="O647" s="2">
        <v>36058.699999999997</v>
      </c>
      <c r="P647" s="6">
        <v>4326.84</v>
      </c>
    </row>
    <row r="648" spans="1:16" x14ac:dyDescent="0.3">
      <c r="A648" s="5" t="s">
        <v>1098</v>
      </c>
      <c r="B648" s="2" t="s">
        <v>114</v>
      </c>
      <c r="C648" s="2" t="str">
        <f t="shared" si="10"/>
        <v>March</v>
      </c>
      <c r="D648" s="2" t="s">
        <v>2</v>
      </c>
      <c r="E648" s="2" t="s">
        <v>103</v>
      </c>
      <c r="F648" s="2" t="s">
        <v>104</v>
      </c>
      <c r="G648" s="2" t="s">
        <v>10</v>
      </c>
      <c r="H648" s="2" t="s">
        <v>83</v>
      </c>
      <c r="I648" s="2" t="s">
        <v>83</v>
      </c>
      <c r="J648" s="2" t="s">
        <v>14</v>
      </c>
      <c r="K648" s="2" t="s">
        <v>21</v>
      </c>
      <c r="L648" s="2">
        <v>7</v>
      </c>
      <c r="M648" s="2">
        <v>13822</v>
      </c>
      <c r="N648" s="2">
        <v>15</v>
      </c>
      <c r="O648" s="2">
        <v>82240.899999999994</v>
      </c>
      <c r="P648" s="6">
        <v>10672.37</v>
      </c>
    </row>
    <row r="649" spans="1:16" x14ac:dyDescent="0.3">
      <c r="A649" s="5" t="s">
        <v>1099</v>
      </c>
      <c r="B649" s="2" t="s">
        <v>1075</v>
      </c>
      <c r="C649" s="2" t="str">
        <f t="shared" si="10"/>
        <v>April</v>
      </c>
      <c r="D649" s="2" t="s">
        <v>2</v>
      </c>
      <c r="E649" s="2" t="s">
        <v>103</v>
      </c>
      <c r="F649" s="2" t="s">
        <v>104</v>
      </c>
      <c r="G649" s="2" t="s">
        <v>8</v>
      </c>
      <c r="H649" s="2" t="s">
        <v>64</v>
      </c>
      <c r="I649" s="2" t="s">
        <v>64</v>
      </c>
      <c r="J649" s="2" t="s">
        <v>15</v>
      </c>
      <c r="K649" s="2" t="s">
        <v>21</v>
      </c>
      <c r="L649" s="2">
        <v>5</v>
      </c>
      <c r="M649" s="2">
        <v>18959</v>
      </c>
      <c r="N649" s="2">
        <v>0</v>
      </c>
      <c r="O649" s="2">
        <v>94795</v>
      </c>
      <c r="P649" s="6">
        <v>8011.29</v>
      </c>
    </row>
    <row r="650" spans="1:16" x14ac:dyDescent="0.3">
      <c r="A650" s="5" t="s">
        <v>1100</v>
      </c>
      <c r="B650" s="2" t="s">
        <v>188</v>
      </c>
      <c r="C650" s="2" t="str">
        <f t="shared" si="10"/>
        <v>February</v>
      </c>
      <c r="D650" s="2" t="s">
        <v>4</v>
      </c>
      <c r="E650" s="2" t="s">
        <v>62</v>
      </c>
      <c r="F650" s="2" t="s">
        <v>63</v>
      </c>
      <c r="G650" s="2" t="s">
        <v>8</v>
      </c>
      <c r="H650" s="2" t="s">
        <v>76</v>
      </c>
      <c r="I650" s="2" t="s">
        <v>76</v>
      </c>
      <c r="J650" s="2" t="s">
        <v>16</v>
      </c>
      <c r="K650" s="2" t="s">
        <v>22</v>
      </c>
      <c r="L650" s="2">
        <v>1</v>
      </c>
      <c r="M650" s="2">
        <v>17909</v>
      </c>
      <c r="N650" s="2">
        <v>20</v>
      </c>
      <c r="O650" s="2">
        <v>14327.2</v>
      </c>
      <c r="P650" s="6">
        <v>2673.34</v>
      </c>
    </row>
    <row r="651" spans="1:16" x14ac:dyDescent="0.3">
      <c r="A651" s="5" t="s">
        <v>1101</v>
      </c>
      <c r="B651" s="2" t="s">
        <v>1102</v>
      </c>
      <c r="C651" s="2" t="str">
        <f t="shared" si="10"/>
        <v>April</v>
      </c>
      <c r="D651" s="2" t="s">
        <v>5</v>
      </c>
      <c r="E651" s="2" t="s">
        <v>57</v>
      </c>
      <c r="F651" s="2" t="s">
        <v>58</v>
      </c>
      <c r="G651" s="2" t="s">
        <v>8</v>
      </c>
      <c r="H651" s="2" t="s">
        <v>93</v>
      </c>
      <c r="I651" s="2" t="s">
        <v>93</v>
      </c>
      <c r="J651" s="2" t="s">
        <v>13</v>
      </c>
      <c r="K651" s="2" t="s">
        <v>22</v>
      </c>
      <c r="L651" s="2">
        <v>9</v>
      </c>
      <c r="M651" s="2">
        <v>48316</v>
      </c>
      <c r="N651" s="2">
        <v>0</v>
      </c>
      <c r="O651" s="2">
        <v>434844</v>
      </c>
      <c r="P651" s="6">
        <v>53895.56</v>
      </c>
    </row>
    <row r="652" spans="1:16" x14ac:dyDescent="0.3">
      <c r="A652" s="5" t="s">
        <v>1103</v>
      </c>
      <c r="B652" s="2" t="s">
        <v>198</v>
      </c>
      <c r="C652" s="2" t="str">
        <f t="shared" si="10"/>
        <v>April</v>
      </c>
      <c r="D652" s="2" t="s">
        <v>5</v>
      </c>
      <c r="E652" s="2" t="s">
        <v>52</v>
      </c>
      <c r="F652" s="2" t="s">
        <v>53</v>
      </c>
      <c r="G652" s="2" t="s">
        <v>8</v>
      </c>
      <c r="H652" s="2" t="s">
        <v>133</v>
      </c>
      <c r="I652" s="2" t="s">
        <v>133</v>
      </c>
      <c r="J652" s="2" t="s">
        <v>15</v>
      </c>
      <c r="K652" s="2" t="s">
        <v>21</v>
      </c>
      <c r="L652" s="2">
        <v>6</v>
      </c>
      <c r="M652" s="2">
        <v>9318</v>
      </c>
      <c r="N652" s="2">
        <v>5</v>
      </c>
      <c r="O652" s="2">
        <v>53112.6</v>
      </c>
      <c r="P652" s="6">
        <v>4455.8</v>
      </c>
    </row>
    <row r="653" spans="1:16" x14ac:dyDescent="0.3">
      <c r="A653" s="5" t="s">
        <v>1104</v>
      </c>
      <c r="B653" s="2" t="s">
        <v>188</v>
      </c>
      <c r="C653" s="2" t="str">
        <f t="shared" si="10"/>
        <v>February</v>
      </c>
      <c r="D653" s="2" t="s">
        <v>4</v>
      </c>
      <c r="E653" s="2" t="s">
        <v>67</v>
      </c>
      <c r="F653" s="2" t="s">
        <v>68</v>
      </c>
      <c r="G653" s="2" t="s">
        <v>9</v>
      </c>
      <c r="H653" s="2" t="s">
        <v>72</v>
      </c>
      <c r="I653" s="2" t="s">
        <v>72</v>
      </c>
      <c r="J653" s="2" t="s">
        <v>16</v>
      </c>
      <c r="K653" s="2" t="s">
        <v>22</v>
      </c>
      <c r="L653" s="2">
        <v>9</v>
      </c>
      <c r="M653" s="2">
        <v>7976</v>
      </c>
      <c r="N653" s="2">
        <v>20</v>
      </c>
      <c r="O653" s="2">
        <v>57427.199999999997</v>
      </c>
      <c r="P653" s="6">
        <v>3837.99</v>
      </c>
    </row>
    <row r="654" spans="1:16" x14ac:dyDescent="0.3">
      <c r="A654" s="5" t="s">
        <v>1105</v>
      </c>
      <c r="B654" s="2" t="s">
        <v>123</v>
      </c>
      <c r="C654" s="2" t="str">
        <f t="shared" si="10"/>
        <v>March</v>
      </c>
      <c r="D654" s="2" t="s">
        <v>3</v>
      </c>
      <c r="E654" s="2" t="s">
        <v>117</v>
      </c>
      <c r="F654" s="2" t="s">
        <v>117</v>
      </c>
      <c r="G654" s="2" t="s">
        <v>8</v>
      </c>
      <c r="H654" s="2" t="s">
        <v>133</v>
      </c>
      <c r="I654" s="2" t="s">
        <v>133</v>
      </c>
      <c r="J654" s="2" t="s">
        <v>19</v>
      </c>
      <c r="K654" s="2" t="s">
        <v>22</v>
      </c>
      <c r="L654" s="2">
        <v>5</v>
      </c>
      <c r="M654" s="2">
        <v>45430</v>
      </c>
      <c r="N654" s="2">
        <v>20</v>
      </c>
      <c r="O654" s="2">
        <v>181720</v>
      </c>
      <c r="P654" s="6">
        <v>34997.230000000003</v>
      </c>
    </row>
    <row r="655" spans="1:16" x14ac:dyDescent="0.3">
      <c r="A655" s="5" t="s">
        <v>1106</v>
      </c>
      <c r="B655" s="2" t="s">
        <v>272</v>
      </c>
      <c r="C655" s="2" t="str">
        <f t="shared" si="10"/>
        <v>May</v>
      </c>
      <c r="D655" s="2" t="s">
        <v>5</v>
      </c>
      <c r="E655" s="2" t="s">
        <v>52</v>
      </c>
      <c r="F655" s="2" t="s">
        <v>53</v>
      </c>
      <c r="G655" s="2" t="s">
        <v>9</v>
      </c>
      <c r="H655" s="2" t="s">
        <v>72</v>
      </c>
      <c r="I655" s="2" t="s">
        <v>72</v>
      </c>
      <c r="J655" s="2" t="s">
        <v>18</v>
      </c>
      <c r="K655" s="2" t="s">
        <v>21</v>
      </c>
      <c r="L655" s="2">
        <v>4</v>
      </c>
      <c r="M655" s="2">
        <v>36547</v>
      </c>
      <c r="N655" s="2">
        <v>15</v>
      </c>
      <c r="O655" s="2">
        <v>124259.8</v>
      </c>
      <c r="P655" s="6">
        <v>28240.5</v>
      </c>
    </row>
    <row r="656" spans="1:16" x14ac:dyDescent="0.3">
      <c r="A656" s="5" t="s">
        <v>1107</v>
      </c>
      <c r="B656" s="2" t="s">
        <v>1108</v>
      </c>
      <c r="C656" s="2" t="str">
        <f t="shared" si="10"/>
        <v>May</v>
      </c>
      <c r="D656" s="2" t="s">
        <v>3</v>
      </c>
      <c r="E656" s="2" t="s">
        <v>117</v>
      </c>
      <c r="F656" s="2" t="s">
        <v>117</v>
      </c>
      <c r="G656" s="2" t="s">
        <v>10</v>
      </c>
      <c r="H656" s="2" t="s">
        <v>100</v>
      </c>
      <c r="I656" s="2" t="s">
        <v>100</v>
      </c>
      <c r="J656" s="2" t="s">
        <v>15</v>
      </c>
      <c r="K656" s="2" t="s">
        <v>21</v>
      </c>
      <c r="L656" s="2">
        <v>3</v>
      </c>
      <c r="M656" s="2">
        <v>20034</v>
      </c>
      <c r="N656" s="2">
        <v>5</v>
      </c>
      <c r="O656" s="2">
        <v>57096.9</v>
      </c>
      <c r="P656" s="6">
        <v>6391.78</v>
      </c>
    </row>
    <row r="657" spans="1:16" x14ac:dyDescent="0.3">
      <c r="A657" s="5" t="s">
        <v>1109</v>
      </c>
      <c r="B657" s="2" t="s">
        <v>108</v>
      </c>
      <c r="C657" s="2" t="str">
        <f t="shared" si="10"/>
        <v>October</v>
      </c>
      <c r="D657" s="2" t="s">
        <v>4</v>
      </c>
      <c r="E657" s="2" t="s">
        <v>62</v>
      </c>
      <c r="F657" s="2" t="s">
        <v>63</v>
      </c>
      <c r="G657" s="2" t="s">
        <v>10</v>
      </c>
      <c r="H657" s="2" t="s">
        <v>100</v>
      </c>
      <c r="I657" s="2" t="s">
        <v>100</v>
      </c>
      <c r="J657" s="2" t="s">
        <v>18</v>
      </c>
      <c r="K657" s="2" t="s">
        <v>22</v>
      </c>
      <c r="L657" s="2">
        <v>4</v>
      </c>
      <c r="M657" s="2">
        <v>4522</v>
      </c>
      <c r="N657" s="2">
        <v>5</v>
      </c>
      <c r="O657" s="2">
        <v>17183.599999999999</v>
      </c>
      <c r="P657" s="6">
        <v>5056.8599999999997</v>
      </c>
    </row>
    <row r="658" spans="1:16" x14ac:dyDescent="0.3">
      <c r="A658" s="5" t="s">
        <v>1110</v>
      </c>
      <c r="B658" s="2" t="s">
        <v>1111</v>
      </c>
      <c r="C658" s="2" t="str">
        <f t="shared" si="10"/>
        <v>June</v>
      </c>
      <c r="D658" s="2" t="s">
        <v>4</v>
      </c>
      <c r="E658" s="2" t="s">
        <v>62</v>
      </c>
      <c r="F658" s="2" t="s">
        <v>63</v>
      </c>
      <c r="G658" s="2" t="s">
        <v>8</v>
      </c>
      <c r="H658" s="2" t="s">
        <v>64</v>
      </c>
      <c r="I658" s="2" t="s">
        <v>64</v>
      </c>
      <c r="J658" s="2" t="s">
        <v>18</v>
      </c>
      <c r="K658" s="2" t="s">
        <v>22</v>
      </c>
      <c r="L658" s="2">
        <v>6</v>
      </c>
      <c r="M658" s="2">
        <v>1810</v>
      </c>
      <c r="N658" s="2">
        <v>15</v>
      </c>
      <c r="O658" s="2">
        <v>9231</v>
      </c>
      <c r="P658" s="6">
        <v>2298.94</v>
      </c>
    </row>
    <row r="659" spans="1:16" x14ac:dyDescent="0.3">
      <c r="A659" s="5" t="s">
        <v>1112</v>
      </c>
      <c r="B659" s="2" t="s">
        <v>1113</v>
      </c>
      <c r="C659" s="2" t="str">
        <f t="shared" si="10"/>
        <v>September</v>
      </c>
      <c r="D659" s="2" t="s">
        <v>4</v>
      </c>
      <c r="E659" s="2" t="s">
        <v>62</v>
      </c>
      <c r="F659" s="2" t="s">
        <v>63</v>
      </c>
      <c r="G659" s="2" t="s">
        <v>8</v>
      </c>
      <c r="H659" s="2" t="s">
        <v>133</v>
      </c>
      <c r="I659" s="2" t="s">
        <v>133</v>
      </c>
      <c r="J659" s="2" t="s">
        <v>15</v>
      </c>
      <c r="K659" s="2" t="s">
        <v>22</v>
      </c>
      <c r="L659" s="2">
        <v>3</v>
      </c>
      <c r="M659" s="2">
        <v>29657</v>
      </c>
      <c r="N659" s="2">
        <v>20</v>
      </c>
      <c r="O659" s="2">
        <v>71176.800000000003</v>
      </c>
      <c r="P659" s="6">
        <v>14809.52</v>
      </c>
    </row>
    <row r="660" spans="1:16" x14ac:dyDescent="0.3">
      <c r="A660" s="5" t="s">
        <v>1114</v>
      </c>
      <c r="B660" s="2" t="s">
        <v>1115</v>
      </c>
      <c r="C660" s="2" t="str">
        <f t="shared" si="10"/>
        <v>February</v>
      </c>
      <c r="D660" s="2" t="s">
        <v>2</v>
      </c>
      <c r="E660" s="2" t="s">
        <v>103</v>
      </c>
      <c r="F660" s="2" t="s">
        <v>104</v>
      </c>
      <c r="G660" s="2" t="s">
        <v>8</v>
      </c>
      <c r="H660" s="2" t="s">
        <v>93</v>
      </c>
      <c r="I660" s="2" t="s">
        <v>93</v>
      </c>
      <c r="J660" s="2" t="s">
        <v>18</v>
      </c>
      <c r="K660" s="2" t="s">
        <v>21</v>
      </c>
      <c r="L660" s="2">
        <v>2</v>
      </c>
      <c r="M660" s="2">
        <v>13691</v>
      </c>
      <c r="N660" s="2">
        <v>0</v>
      </c>
      <c r="O660" s="2">
        <v>27382</v>
      </c>
      <c r="P660" s="6">
        <v>1986.87</v>
      </c>
    </row>
    <row r="661" spans="1:16" x14ac:dyDescent="0.3">
      <c r="A661" s="5" t="s">
        <v>1116</v>
      </c>
      <c r="B661" s="2" t="s">
        <v>405</v>
      </c>
      <c r="C661" s="2" t="str">
        <f t="shared" si="10"/>
        <v>January</v>
      </c>
      <c r="D661" s="2" t="s">
        <v>3</v>
      </c>
      <c r="E661" s="2" t="s">
        <v>75</v>
      </c>
      <c r="F661" s="2" t="s">
        <v>75</v>
      </c>
      <c r="G661" s="2" t="s">
        <v>8</v>
      </c>
      <c r="H661" s="2" t="s">
        <v>93</v>
      </c>
      <c r="I661" s="2" t="s">
        <v>93</v>
      </c>
      <c r="J661" s="2" t="s">
        <v>18</v>
      </c>
      <c r="K661" s="2" t="s">
        <v>21</v>
      </c>
      <c r="L661" s="2">
        <v>6</v>
      </c>
      <c r="M661" s="2">
        <v>10777</v>
      </c>
      <c r="N661" s="2">
        <v>5</v>
      </c>
      <c r="O661" s="2">
        <v>61428.9</v>
      </c>
      <c r="P661" s="6">
        <v>9100.84</v>
      </c>
    </row>
    <row r="662" spans="1:16" x14ac:dyDescent="0.3">
      <c r="A662" s="5" t="s">
        <v>1117</v>
      </c>
      <c r="B662" s="2" t="s">
        <v>272</v>
      </c>
      <c r="C662" s="2" t="str">
        <f t="shared" si="10"/>
        <v>May</v>
      </c>
      <c r="D662" s="2" t="s">
        <v>5</v>
      </c>
      <c r="E662" s="2" t="s">
        <v>52</v>
      </c>
      <c r="F662" s="2" t="s">
        <v>53</v>
      </c>
      <c r="G662" s="2" t="s">
        <v>10</v>
      </c>
      <c r="H662" s="2" t="s">
        <v>100</v>
      </c>
      <c r="I662" s="2" t="s">
        <v>100</v>
      </c>
      <c r="J662" s="2" t="s">
        <v>13</v>
      </c>
      <c r="K662" s="2" t="s">
        <v>21</v>
      </c>
      <c r="L662" s="2">
        <v>1</v>
      </c>
      <c r="M662" s="2">
        <v>31477</v>
      </c>
      <c r="N662" s="2">
        <v>20</v>
      </c>
      <c r="O662" s="2">
        <v>25181.599999999999</v>
      </c>
      <c r="P662" s="6">
        <v>2290.86</v>
      </c>
    </row>
    <row r="663" spans="1:16" x14ac:dyDescent="0.3">
      <c r="A663" s="5" t="s">
        <v>1118</v>
      </c>
      <c r="B663" s="2" t="s">
        <v>703</v>
      </c>
      <c r="C663" s="2" t="str">
        <f t="shared" si="10"/>
        <v>June</v>
      </c>
      <c r="D663" s="2" t="s">
        <v>5</v>
      </c>
      <c r="E663" s="2" t="s">
        <v>57</v>
      </c>
      <c r="F663" s="2" t="s">
        <v>58</v>
      </c>
      <c r="G663" s="2" t="s">
        <v>8</v>
      </c>
      <c r="H663" s="2" t="s">
        <v>133</v>
      </c>
      <c r="I663" s="2" t="s">
        <v>133</v>
      </c>
      <c r="J663" s="2" t="s">
        <v>15</v>
      </c>
      <c r="K663" s="2" t="s">
        <v>22</v>
      </c>
      <c r="L663" s="2">
        <v>10</v>
      </c>
      <c r="M663" s="2">
        <v>49674</v>
      </c>
      <c r="N663" s="2">
        <v>0</v>
      </c>
      <c r="O663" s="2">
        <v>496740</v>
      </c>
      <c r="P663" s="6">
        <v>73936.39</v>
      </c>
    </row>
    <row r="664" spans="1:16" x14ac:dyDescent="0.3">
      <c r="A664" s="5" t="s">
        <v>1119</v>
      </c>
      <c r="B664" s="2" t="s">
        <v>1120</v>
      </c>
      <c r="C664" s="2" t="str">
        <f t="shared" si="10"/>
        <v>November</v>
      </c>
      <c r="D664" s="2" t="s">
        <v>5</v>
      </c>
      <c r="E664" s="2" t="s">
        <v>57</v>
      </c>
      <c r="F664" s="2" t="s">
        <v>58</v>
      </c>
      <c r="G664" s="2" t="s">
        <v>9</v>
      </c>
      <c r="H664" s="2" t="s">
        <v>126</v>
      </c>
      <c r="I664" s="2" t="s">
        <v>126</v>
      </c>
      <c r="J664" s="2" t="s">
        <v>19</v>
      </c>
      <c r="K664" s="2" t="s">
        <v>21</v>
      </c>
      <c r="L664" s="2">
        <v>10</v>
      </c>
      <c r="M664" s="2">
        <v>21822</v>
      </c>
      <c r="N664" s="2">
        <v>0</v>
      </c>
      <c r="O664" s="2">
        <v>218220</v>
      </c>
      <c r="P664" s="6">
        <v>22645.72</v>
      </c>
    </row>
    <row r="665" spans="1:16" x14ac:dyDescent="0.3">
      <c r="A665" s="5" t="s">
        <v>1121</v>
      </c>
      <c r="B665" s="2" t="s">
        <v>1122</v>
      </c>
      <c r="C665" s="2" t="str">
        <f t="shared" si="10"/>
        <v>April</v>
      </c>
      <c r="D665" s="2" t="s">
        <v>5</v>
      </c>
      <c r="E665" s="2" t="s">
        <v>57</v>
      </c>
      <c r="F665" s="2" t="s">
        <v>58</v>
      </c>
      <c r="G665" s="2" t="s">
        <v>9</v>
      </c>
      <c r="H665" s="2" t="s">
        <v>126</v>
      </c>
      <c r="I665" s="2" t="s">
        <v>126</v>
      </c>
      <c r="J665" s="2" t="s">
        <v>15</v>
      </c>
      <c r="K665" s="2" t="s">
        <v>22</v>
      </c>
      <c r="L665" s="2">
        <v>2</v>
      </c>
      <c r="M665" s="2">
        <v>27325</v>
      </c>
      <c r="N665" s="2">
        <v>5</v>
      </c>
      <c r="O665" s="2">
        <v>51917.5</v>
      </c>
      <c r="P665" s="6">
        <v>2634.06</v>
      </c>
    </row>
    <row r="666" spans="1:16" x14ac:dyDescent="0.3">
      <c r="A666" s="5" t="s">
        <v>1123</v>
      </c>
      <c r="B666" s="2" t="s">
        <v>1124</v>
      </c>
      <c r="C666" s="2" t="str">
        <f t="shared" si="10"/>
        <v>March</v>
      </c>
      <c r="D666" s="2" t="s">
        <v>2</v>
      </c>
      <c r="E666" s="2" t="s">
        <v>103</v>
      </c>
      <c r="F666" s="2" t="s">
        <v>104</v>
      </c>
      <c r="G666" s="2" t="s">
        <v>10</v>
      </c>
      <c r="H666" s="2" t="s">
        <v>83</v>
      </c>
      <c r="I666" s="2" t="s">
        <v>83</v>
      </c>
      <c r="J666" s="2" t="s">
        <v>18</v>
      </c>
      <c r="K666" s="2" t="s">
        <v>21</v>
      </c>
      <c r="L666" s="2">
        <v>2</v>
      </c>
      <c r="M666" s="2">
        <v>45122</v>
      </c>
      <c r="N666" s="2">
        <v>0</v>
      </c>
      <c r="O666" s="2">
        <v>90244</v>
      </c>
      <c r="P666" s="6">
        <v>18585.16</v>
      </c>
    </row>
    <row r="667" spans="1:16" x14ac:dyDescent="0.3">
      <c r="A667" s="5" t="s">
        <v>1125</v>
      </c>
      <c r="B667" s="2" t="s">
        <v>620</v>
      </c>
      <c r="C667" s="2" t="str">
        <f t="shared" si="10"/>
        <v>December</v>
      </c>
      <c r="D667" s="2" t="s">
        <v>5</v>
      </c>
      <c r="E667" s="2" t="s">
        <v>57</v>
      </c>
      <c r="F667" s="2" t="s">
        <v>58</v>
      </c>
      <c r="G667" s="2" t="s">
        <v>9</v>
      </c>
      <c r="H667" s="2" t="s">
        <v>59</v>
      </c>
      <c r="I667" s="2" t="s">
        <v>59</v>
      </c>
      <c r="J667" s="2" t="s">
        <v>13</v>
      </c>
      <c r="K667" s="2" t="s">
        <v>22</v>
      </c>
      <c r="L667" s="2">
        <v>4</v>
      </c>
      <c r="M667" s="2">
        <v>6897</v>
      </c>
      <c r="N667" s="2">
        <v>5</v>
      </c>
      <c r="O667" s="2">
        <v>26208.6</v>
      </c>
      <c r="P667" s="6">
        <v>3183.22</v>
      </c>
    </row>
    <row r="668" spans="1:16" x14ac:dyDescent="0.3">
      <c r="A668" s="5" t="s">
        <v>1126</v>
      </c>
      <c r="B668" s="2" t="s">
        <v>186</v>
      </c>
      <c r="C668" s="2" t="str">
        <f t="shared" si="10"/>
        <v>October</v>
      </c>
      <c r="D668" s="2" t="s">
        <v>5</v>
      </c>
      <c r="E668" s="2" t="s">
        <v>52</v>
      </c>
      <c r="F668" s="2" t="s">
        <v>53</v>
      </c>
      <c r="G668" s="2" t="s">
        <v>9</v>
      </c>
      <c r="H668" s="2" t="s">
        <v>90</v>
      </c>
      <c r="I668" s="2" t="s">
        <v>90</v>
      </c>
      <c r="J668" s="2" t="s">
        <v>19</v>
      </c>
      <c r="K668" s="2" t="s">
        <v>21</v>
      </c>
      <c r="L668" s="2">
        <v>10</v>
      </c>
      <c r="M668" s="2">
        <v>3410</v>
      </c>
      <c r="N668" s="2">
        <v>20</v>
      </c>
      <c r="O668" s="2">
        <v>27280</v>
      </c>
      <c r="P668" s="6">
        <v>6020.52</v>
      </c>
    </row>
    <row r="669" spans="1:16" x14ac:dyDescent="0.3">
      <c r="A669" s="5" t="s">
        <v>1127</v>
      </c>
      <c r="B669" s="2" t="s">
        <v>1128</v>
      </c>
      <c r="C669" s="2" t="str">
        <f t="shared" si="10"/>
        <v>January</v>
      </c>
      <c r="D669" s="2" t="s">
        <v>2</v>
      </c>
      <c r="E669" s="2" t="s">
        <v>103</v>
      </c>
      <c r="F669" s="2" t="s">
        <v>104</v>
      </c>
      <c r="G669" s="2" t="s">
        <v>8</v>
      </c>
      <c r="H669" s="2" t="s">
        <v>93</v>
      </c>
      <c r="I669" s="2" t="s">
        <v>93</v>
      </c>
      <c r="J669" s="2" t="s">
        <v>19</v>
      </c>
      <c r="K669" s="2" t="s">
        <v>22</v>
      </c>
      <c r="L669" s="2">
        <v>3</v>
      </c>
      <c r="M669" s="2">
        <v>25893</v>
      </c>
      <c r="N669" s="2">
        <v>15</v>
      </c>
      <c r="O669" s="2">
        <v>66027.149999999994</v>
      </c>
      <c r="P669" s="6">
        <v>7166.29</v>
      </c>
    </row>
    <row r="670" spans="1:16" x14ac:dyDescent="0.3">
      <c r="A670" s="5" t="s">
        <v>1129</v>
      </c>
      <c r="B670" s="2" t="s">
        <v>397</v>
      </c>
      <c r="C670" s="2" t="str">
        <f t="shared" si="10"/>
        <v>January</v>
      </c>
      <c r="D670" s="2" t="s">
        <v>3</v>
      </c>
      <c r="E670" s="2" t="s">
        <v>75</v>
      </c>
      <c r="F670" s="2" t="s">
        <v>75</v>
      </c>
      <c r="G670" s="2" t="s">
        <v>9</v>
      </c>
      <c r="H670" s="2" t="s">
        <v>72</v>
      </c>
      <c r="I670" s="2" t="s">
        <v>72</v>
      </c>
      <c r="J670" s="2" t="s">
        <v>18</v>
      </c>
      <c r="K670" s="2" t="s">
        <v>22</v>
      </c>
      <c r="L670" s="2">
        <v>1</v>
      </c>
      <c r="M670" s="2">
        <v>41266</v>
      </c>
      <c r="N670" s="2">
        <v>0</v>
      </c>
      <c r="O670" s="2">
        <v>41266</v>
      </c>
      <c r="P670" s="6">
        <v>5153.24</v>
      </c>
    </row>
    <row r="671" spans="1:16" x14ac:dyDescent="0.3">
      <c r="A671" s="5" t="s">
        <v>1130</v>
      </c>
      <c r="B671" s="2" t="s">
        <v>1131</v>
      </c>
      <c r="C671" s="2" t="str">
        <f t="shared" si="10"/>
        <v>May</v>
      </c>
      <c r="D671" s="2" t="s">
        <v>3</v>
      </c>
      <c r="E671" s="2" t="s">
        <v>75</v>
      </c>
      <c r="F671" s="2" t="s">
        <v>75</v>
      </c>
      <c r="G671" s="2" t="s">
        <v>9</v>
      </c>
      <c r="H671" s="2" t="s">
        <v>90</v>
      </c>
      <c r="I671" s="2" t="s">
        <v>90</v>
      </c>
      <c r="J671" s="2" t="s">
        <v>14</v>
      </c>
      <c r="K671" s="2" t="s">
        <v>22</v>
      </c>
      <c r="L671" s="2">
        <v>6</v>
      </c>
      <c r="M671" s="2">
        <v>10467</v>
      </c>
      <c r="N671" s="2">
        <v>5</v>
      </c>
      <c r="O671" s="2">
        <v>59661.9</v>
      </c>
      <c r="P671" s="6">
        <v>15668.47</v>
      </c>
    </row>
    <row r="672" spans="1:16" x14ac:dyDescent="0.3">
      <c r="A672" s="5" t="s">
        <v>1132</v>
      </c>
      <c r="B672" s="2" t="s">
        <v>1048</v>
      </c>
      <c r="C672" s="2" t="str">
        <f t="shared" si="10"/>
        <v>February</v>
      </c>
      <c r="D672" s="2" t="s">
        <v>5</v>
      </c>
      <c r="E672" s="2" t="s">
        <v>52</v>
      </c>
      <c r="F672" s="2" t="s">
        <v>53</v>
      </c>
      <c r="G672" s="2" t="s">
        <v>8</v>
      </c>
      <c r="H672" s="2" t="s">
        <v>93</v>
      </c>
      <c r="I672" s="2" t="s">
        <v>93</v>
      </c>
      <c r="J672" s="2" t="s">
        <v>13</v>
      </c>
      <c r="K672" s="2" t="s">
        <v>22</v>
      </c>
      <c r="L672" s="2">
        <v>5</v>
      </c>
      <c r="M672" s="2">
        <v>26004</v>
      </c>
      <c r="N672" s="2">
        <v>10</v>
      </c>
      <c r="O672" s="2">
        <v>117018</v>
      </c>
      <c r="P672" s="6">
        <v>22942.27</v>
      </c>
    </row>
    <row r="673" spans="1:16" x14ac:dyDescent="0.3">
      <c r="A673" s="5" t="s">
        <v>1133</v>
      </c>
      <c r="B673" s="2" t="s">
        <v>219</v>
      </c>
      <c r="C673" s="2" t="str">
        <f t="shared" si="10"/>
        <v>April</v>
      </c>
      <c r="D673" s="2" t="s">
        <v>3</v>
      </c>
      <c r="E673" s="2" t="s">
        <v>117</v>
      </c>
      <c r="F673" s="2" t="s">
        <v>117</v>
      </c>
      <c r="G673" s="2" t="s">
        <v>10</v>
      </c>
      <c r="H673" s="2" t="s">
        <v>100</v>
      </c>
      <c r="I673" s="2" t="s">
        <v>100</v>
      </c>
      <c r="J673" s="2" t="s">
        <v>12</v>
      </c>
      <c r="K673" s="2" t="s">
        <v>22</v>
      </c>
      <c r="L673" s="2">
        <v>4</v>
      </c>
      <c r="M673" s="2">
        <v>31107</v>
      </c>
      <c r="N673" s="2">
        <v>20</v>
      </c>
      <c r="O673" s="2">
        <v>99542.399999999994</v>
      </c>
      <c r="P673" s="6">
        <v>11149.4</v>
      </c>
    </row>
    <row r="674" spans="1:16" x14ac:dyDescent="0.3">
      <c r="A674" s="5" t="s">
        <v>1134</v>
      </c>
      <c r="B674" s="2" t="s">
        <v>850</v>
      </c>
      <c r="C674" s="2" t="str">
        <f t="shared" si="10"/>
        <v>February</v>
      </c>
      <c r="D674" s="2" t="s">
        <v>4</v>
      </c>
      <c r="E674" s="2" t="s">
        <v>62</v>
      </c>
      <c r="F674" s="2" t="s">
        <v>63</v>
      </c>
      <c r="G674" s="2" t="s">
        <v>8</v>
      </c>
      <c r="H674" s="2" t="s">
        <v>64</v>
      </c>
      <c r="I674" s="2" t="s">
        <v>64</v>
      </c>
      <c r="J674" s="2" t="s">
        <v>16</v>
      </c>
      <c r="K674" s="2" t="s">
        <v>22</v>
      </c>
      <c r="L674" s="2">
        <v>9</v>
      </c>
      <c r="M674" s="2">
        <v>21355</v>
      </c>
      <c r="N674" s="2">
        <v>5</v>
      </c>
      <c r="O674" s="2">
        <v>182585.25</v>
      </c>
      <c r="P674" s="6">
        <v>12762.45</v>
      </c>
    </row>
    <row r="675" spans="1:16" x14ac:dyDescent="0.3">
      <c r="A675" s="5" t="s">
        <v>1135</v>
      </c>
      <c r="B675" s="2" t="s">
        <v>1060</v>
      </c>
      <c r="C675" s="2" t="str">
        <f t="shared" si="10"/>
        <v>May</v>
      </c>
      <c r="D675" s="2" t="s">
        <v>5</v>
      </c>
      <c r="E675" s="2" t="s">
        <v>52</v>
      </c>
      <c r="F675" s="2" t="s">
        <v>53</v>
      </c>
      <c r="G675" s="2" t="s">
        <v>8</v>
      </c>
      <c r="H675" s="2" t="s">
        <v>76</v>
      </c>
      <c r="I675" s="2" t="s">
        <v>76</v>
      </c>
      <c r="J675" s="2" t="s">
        <v>17</v>
      </c>
      <c r="K675" s="2" t="s">
        <v>22</v>
      </c>
      <c r="L675" s="2">
        <v>9</v>
      </c>
      <c r="M675" s="2">
        <v>46597</v>
      </c>
      <c r="N675" s="2">
        <v>0</v>
      </c>
      <c r="O675" s="2">
        <v>419373</v>
      </c>
      <c r="P675" s="6">
        <v>100343.83</v>
      </c>
    </row>
    <row r="676" spans="1:16" x14ac:dyDescent="0.3">
      <c r="A676" s="5" t="s">
        <v>1136</v>
      </c>
      <c r="B676" s="2" t="s">
        <v>559</v>
      </c>
      <c r="C676" s="2" t="str">
        <f t="shared" si="10"/>
        <v>March</v>
      </c>
      <c r="D676" s="2" t="s">
        <v>2</v>
      </c>
      <c r="E676" s="2" t="s">
        <v>81</v>
      </c>
      <c r="F676" s="2" t="s">
        <v>82</v>
      </c>
      <c r="G676" s="2" t="s">
        <v>8</v>
      </c>
      <c r="H676" s="2" t="s">
        <v>133</v>
      </c>
      <c r="I676" s="2" t="s">
        <v>133</v>
      </c>
      <c r="J676" s="2" t="s">
        <v>17</v>
      </c>
      <c r="K676" s="2" t="s">
        <v>21</v>
      </c>
      <c r="L676" s="2">
        <v>10</v>
      </c>
      <c r="M676" s="2">
        <v>24660</v>
      </c>
      <c r="N676" s="2">
        <v>20</v>
      </c>
      <c r="O676" s="2">
        <v>197280</v>
      </c>
      <c r="P676" s="6">
        <v>54317.35</v>
      </c>
    </row>
    <row r="677" spans="1:16" x14ac:dyDescent="0.3">
      <c r="A677" s="5" t="s">
        <v>1137</v>
      </c>
      <c r="B677" s="2" t="s">
        <v>1138</v>
      </c>
      <c r="C677" s="2" t="str">
        <f t="shared" si="10"/>
        <v>March</v>
      </c>
      <c r="D677" s="2" t="s">
        <v>2</v>
      </c>
      <c r="E677" s="2" t="s">
        <v>103</v>
      </c>
      <c r="F677" s="2" t="s">
        <v>104</v>
      </c>
      <c r="G677" s="2" t="s">
        <v>10</v>
      </c>
      <c r="H677" s="2" t="s">
        <v>100</v>
      </c>
      <c r="I677" s="2" t="s">
        <v>100</v>
      </c>
      <c r="J677" s="2" t="s">
        <v>13</v>
      </c>
      <c r="K677" s="2" t="s">
        <v>22</v>
      </c>
      <c r="L677" s="2">
        <v>1</v>
      </c>
      <c r="M677" s="2">
        <v>5028</v>
      </c>
      <c r="N677" s="2">
        <v>15</v>
      </c>
      <c r="O677" s="2">
        <v>4273.8</v>
      </c>
      <c r="P677" s="6">
        <v>1216.19</v>
      </c>
    </row>
    <row r="678" spans="1:16" x14ac:dyDescent="0.3">
      <c r="A678" s="5" t="s">
        <v>1139</v>
      </c>
      <c r="B678" s="2" t="s">
        <v>1140</v>
      </c>
      <c r="C678" s="2" t="str">
        <f t="shared" si="10"/>
        <v>July</v>
      </c>
      <c r="D678" s="2" t="s">
        <v>5</v>
      </c>
      <c r="E678" s="2" t="s">
        <v>52</v>
      </c>
      <c r="F678" s="2" t="s">
        <v>53</v>
      </c>
      <c r="G678" s="2" t="s">
        <v>9</v>
      </c>
      <c r="H678" s="2" t="s">
        <v>59</v>
      </c>
      <c r="I678" s="2" t="s">
        <v>59</v>
      </c>
      <c r="J678" s="2" t="s">
        <v>16</v>
      </c>
      <c r="K678" s="2" t="s">
        <v>21</v>
      </c>
      <c r="L678" s="2">
        <v>7</v>
      </c>
      <c r="M678" s="2">
        <v>43520</v>
      </c>
      <c r="N678" s="2">
        <v>0</v>
      </c>
      <c r="O678" s="2">
        <v>304640</v>
      </c>
      <c r="P678" s="6">
        <v>38396.639999999999</v>
      </c>
    </row>
    <row r="679" spans="1:16" x14ac:dyDescent="0.3">
      <c r="A679" s="5" t="s">
        <v>1141</v>
      </c>
      <c r="B679" s="2" t="s">
        <v>1142</v>
      </c>
      <c r="C679" s="2" t="str">
        <f t="shared" si="10"/>
        <v>April</v>
      </c>
      <c r="D679" s="2" t="s">
        <v>5</v>
      </c>
      <c r="E679" s="2" t="s">
        <v>57</v>
      </c>
      <c r="F679" s="2" t="s">
        <v>58</v>
      </c>
      <c r="G679" s="2" t="s">
        <v>8</v>
      </c>
      <c r="H679" s="2" t="s">
        <v>76</v>
      </c>
      <c r="I679" s="2" t="s">
        <v>76</v>
      </c>
      <c r="J679" s="2" t="s">
        <v>13</v>
      </c>
      <c r="K679" s="2" t="s">
        <v>22</v>
      </c>
      <c r="L679" s="2">
        <v>6</v>
      </c>
      <c r="M679" s="2">
        <v>39911</v>
      </c>
      <c r="N679" s="2">
        <v>10</v>
      </c>
      <c r="O679" s="2">
        <v>215519.4</v>
      </c>
      <c r="P679" s="6">
        <v>48163.519999999997</v>
      </c>
    </row>
    <row r="680" spans="1:16" x14ac:dyDescent="0.3">
      <c r="A680" s="5" t="s">
        <v>1143</v>
      </c>
      <c r="B680" s="2" t="s">
        <v>444</v>
      </c>
      <c r="C680" s="2" t="str">
        <f t="shared" si="10"/>
        <v>March</v>
      </c>
      <c r="D680" s="2" t="s">
        <v>3</v>
      </c>
      <c r="E680" s="2" t="s">
        <v>75</v>
      </c>
      <c r="F680" s="2" t="s">
        <v>75</v>
      </c>
      <c r="G680" s="2" t="s">
        <v>10</v>
      </c>
      <c r="H680" s="2" t="s">
        <v>69</v>
      </c>
      <c r="I680" s="2" t="s">
        <v>69</v>
      </c>
      <c r="J680" s="2" t="s">
        <v>15</v>
      </c>
      <c r="K680" s="2" t="s">
        <v>22</v>
      </c>
      <c r="L680" s="2">
        <v>2</v>
      </c>
      <c r="M680" s="2">
        <v>25219</v>
      </c>
      <c r="N680" s="2">
        <v>0</v>
      </c>
      <c r="O680" s="2">
        <v>50438</v>
      </c>
      <c r="P680" s="6">
        <v>7910.02</v>
      </c>
    </row>
    <row r="681" spans="1:16" x14ac:dyDescent="0.3">
      <c r="A681" s="5" t="s">
        <v>1144</v>
      </c>
      <c r="B681" s="2" t="s">
        <v>981</v>
      </c>
      <c r="C681" s="2" t="str">
        <f t="shared" si="10"/>
        <v>May</v>
      </c>
      <c r="D681" s="2" t="s">
        <v>5</v>
      </c>
      <c r="E681" s="2" t="s">
        <v>52</v>
      </c>
      <c r="F681" s="2" t="s">
        <v>53</v>
      </c>
      <c r="G681" s="2" t="s">
        <v>8</v>
      </c>
      <c r="H681" s="2" t="s">
        <v>64</v>
      </c>
      <c r="I681" s="2" t="s">
        <v>64</v>
      </c>
      <c r="J681" s="2" t="s">
        <v>13</v>
      </c>
      <c r="K681" s="2" t="s">
        <v>21</v>
      </c>
      <c r="L681" s="2">
        <v>8</v>
      </c>
      <c r="M681" s="2">
        <v>27828</v>
      </c>
      <c r="N681" s="2">
        <v>20</v>
      </c>
      <c r="O681" s="2">
        <v>178099.20000000001</v>
      </c>
      <c r="P681" s="6">
        <v>45149.91</v>
      </c>
    </row>
    <row r="682" spans="1:16" x14ac:dyDescent="0.3">
      <c r="A682" s="5" t="s">
        <v>1145</v>
      </c>
      <c r="B682" s="2" t="s">
        <v>245</v>
      </c>
      <c r="C682" s="2" t="str">
        <f t="shared" si="10"/>
        <v>July</v>
      </c>
      <c r="D682" s="2" t="s">
        <v>2</v>
      </c>
      <c r="E682" s="2" t="s">
        <v>81</v>
      </c>
      <c r="F682" s="2" t="s">
        <v>82</v>
      </c>
      <c r="G682" s="2" t="s">
        <v>9</v>
      </c>
      <c r="H682" s="2" t="s">
        <v>90</v>
      </c>
      <c r="I682" s="2" t="s">
        <v>90</v>
      </c>
      <c r="J682" s="2" t="s">
        <v>16</v>
      </c>
      <c r="K682" s="2" t="s">
        <v>21</v>
      </c>
      <c r="L682" s="2">
        <v>10</v>
      </c>
      <c r="M682" s="2">
        <v>24478</v>
      </c>
      <c r="N682" s="2">
        <v>0</v>
      </c>
      <c r="O682" s="2">
        <v>244780</v>
      </c>
      <c r="P682" s="6">
        <v>43024.92</v>
      </c>
    </row>
    <row r="683" spans="1:16" x14ac:dyDescent="0.3">
      <c r="A683" s="5" t="s">
        <v>1146</v>
      </c>
      <c r="B683" s="2" t="s">
        <v>554</v>
      </c>
      <c r="C683" s="2" t="str">
        <f t="shared" si="10"/>
        <v>February</v>
      </c>
      <c r="D683" s="2" t="s">
        <v>3</v>
      </c>
      <c r="E683" s="2" t="s">
        <v>117</v>
      </c>
      <c r="F683" s="2" t="s">
        <v>117</v>
      </c>
      <c r="G683" s="2" t="s">
        <v>9</v>
      </c>
      <c r="H683" s="2" t="s">
        <v>90</v>
      </c>
      <c r="I683" s="2" t="s">
        <v>90</v>
      </c>
      <c r="J683" s="2" t="s">
        <v>14</v>
      </c>
      <c r="K683" s="2" t="s">
        <v>21</v>
      </c>
      <c r="L683" s="2">
        <v>8</v>
      </c>
      <c r="M683" s="2">
        <v>41335</v>
      </c>
      <c r="N683" s="2">
        <v>5</v>
      </c>
      <c r="O683" s="2">
        <v>314146</v>
      </c>
      <c r="P683" s="6">
        <v>90828.72</v>
      </c>
    </row>
    <row r="684" spans="1:16" x14ac:dyDescent="0.3">
      <c r="A684" s="5" t="s">
        <v>1147</v>
      </c>
      <c r="B684" s="2" t="s">
        <v>152</v>
      </c>
      <c r="C684" s="2" t="str">
        <f t="shared" si="10"/>
        <v>January</v>
      </c>
      <c r="D684" s="2" t="s">
        <v>3</v>
      </c>
      <c r="E684" s="2" t="s">
        <v>117</v>
      </c>
      <c r="F684" s="2" t="s">
        <v>117</v>
      </c>
      <c r="G684" s="2" t="s">
        <v>8</v>
      </c>
      <c r="H684" s="2" t="s">
        <v>76</v>
      </c>
      <c r="I684" s="2" t="s">
        <v>76</v>
      </c>
      <c r="J684" s="2" t="s">
        <v>19</v>
      </c>
      <c r="K684" s="2" t="s">
        <v>21</v>
      </c>
      <c r="L684" s="2">
        <v>4</v>
      </c>
      <c r="M684" s="2">
        <v>11061</v>
      </c>
      <c r="N684" s="2">
        <v>10</v>
      </c>
      <c r="O684" s="2">
        <v>39819.599999999999</v>
      </c>
      <c r="P684" s="6">
        <v>5245.34</v>
      </c>
    </row>
    <row r="685" spans="1:16" x14ac:dyDescent="0.3">
      <c r="A685" s="5" t="s">
        <v>1148</v>
      </c>
      <c r="B685" s="2" t="s">
        <v>825</v>
      </c>
      <c r="C685" s="2" t="str">
        <f t="shared" si="10"/>
        <v>June</v>
      </c>
      <c r="D685" s="2" t="s">
        <v>5</v>
      </c>
      <c r="E685" s="2" t="s">
        <v>57</v>
      </c>
      <c r="F685" s="2" t="s">
        <v>58</v>
      </c>
      <c r="G685" s="2" t="s">
        <v>10</v>
      </c>
      <c r="H685" s="2" t="s">
        <v>83</v>
      </c>
      <c r="I685" s="2" t="s">
        <v>83</v>
      </c>
      <c r="J685" s="2" t="s">
        <v>14</v>
      </c>
      <c r="K685" s="2" t="s">
        <v>21</v>
      </c>
      <c r="L685" s="2">
        <v>5</v>
      </c>
      <c r="M685" s="2">
        <v>42843</v>
      </c>
      <c r="N685" s="2">
        <v>15</v>
      </c>
      <c r="O685" s="2">
        <v>182082.75</v>
      </c>
      <c r="P685" s="6">
        <v>51626.69</v>
      </c>
    </row>
    <row r="686" spans="1:16" x14ac:dyDescent="0.3">
      <c r="A686" s="5" t="s">
        <v>1149</v>
      </c>
      <c r="B686" s="2" t="s">
        <v>868</v>
      </c>
      <c r="C686" s="2" t="str">
        <f t="shared" si="10"/>
        <v>June</v>
      </c>
      <c r="D686" s="2" t="s">
        <v>2</v>
      </c>
      <c r="E686" s="2" t="s">
        <v>103</v>
      </c>
      <c r="F686" s="2" t="s">
        <v>104</v>
      </c>
      <c r="G686" s="2" t="s">
        <v>8</v>
      </c>
      <c r="H686" s="2" t="s">
        <v>64</v>
      </c>
      <c r="I686" s="2" t="s">
        <v>64</v>
      </c>
      <c r="J686" s="2" t="s">
        <v>16</v>
      </c>
      <c r="K686" s="2" t="s">
        <v>21</v>
      </c>
      <c r="L686" s="2">
        <v>2</v>
      </c>
      <c r="M686" s="2">
        <v>46468</v>
      </c>
      <c r="N686" s="2">
        <v>0</v>
      </c>
      <c r="O686" s="2">
        <v>92936</v>
      </c>
      <c r="P686" s="6">
        <v>5596.67</v>
      </c>
    </row>
    <row r="687" spans="1:16" x14ac:dyDescent="0.3">
      <c r="A687" s="5" t="s">
        <v>1150</v>
      </c>
      <c r="B687" s="2" t="s">
        <v>430</v>
      </c>
      <c r="C687" s="2" t="str">
        <f t="shared" si="10"/>
        <v>February</v>
      </c>
      <c r="D687" s="2" t="s">
        <v>4</v>
      </c>
      <c r="E687" s="2" t="s">
        <v>62</v>
      </c>
      <c r="F687" s="2" t="s">
        <v>63</v>
      </c>
      <c r="G687" s="2" t="s">
        <v>9</v>
      </c>
      <c r="H687" s="2" t="s">
        <v>72</v>
      </c>
      <c r="I687" s="2" t="s">
        <v>72</v>
      </c>
      <c r="J687" s="2" t="s">
        <v>16</v>
      </c>
      <c r="K687" s="2" t="s">
        <v>21</v>
      </c>
      <c r="L687" s="2">
        <v>6</v>
      </c>
      <c r="M687" s="2">
        <v>43111</v>
      </c>
      <c r="N687" s="2">
        <v>0</v>
      </c>
      <c r="O687" s="2">
        <v>258666</v>
      </c>
      <c r="P687" s="6">
        <v>31988.02</v>
      </c>
    </row>
    <row r="688" spans="1:16" x14ac:dyDescent="0.3">
      <c r="A688" s="5" t="s">
        <v>1151</v>
      </c>
      <c r="B688" s="2" t="s">
        <v>973</v>
      </c>
      <c r="C688" s="2" t="str">
        <f t="shared" si="10"/>
        <v>April</v>
      </c>
      <c r="D688" s="2" t="s">
        <v>4</v>
      </c>
      <c r="E688" s="2" t="s">
        <v>67</v>
      </c>
      <c r="F688" s="2" t="s">
        <v>68</v>
      </c>
      <c r="G688" s="2" t="s">
        <v>9</v>
      </c>
      <c r="H688" s="2" t="s">
        <v>90</v>
      </c>
      <c r="I688" s="2" t="s">
        <v>90</v>
      </c>
      <c r="J688" s="2" t="s">
        <v>12</v>
      </c>
      <c r="K688" s="2" t="s">
        <v>22</v>
      </c>
      <c r="L688" s="2">
        <v>8</v>
      </c>
      <c r="M688" s="2">
        <v>38980</v>
      </c>
      <c r="N688" s="2">
        <v>10</v>
      </c>
      <c r="O688" s="2">
        <v>280656</v>
      </c>
      <c r="P688" s="6">
        <v>73267.55</v>
      </c>
    </row>
    <row r="689" spans="1:16" x14ac:dyDescent="0.3">
      <c r="A689" s="5" t="s">
        <v>1152</v>
      </c>
      <c r="B689" s="2" t="s">
        <v>1153</v>
      </c>
      <c r="C689" s="2" t="str">
        <f t="shared" si="10"/>
        <v>March</v>
      </c>
      <c r="D689" s="2" t="s">
        <v>2</v>
      </c>
      <c r="E689" s="2" t="s">
        <v>103</v>
      </c>
      <c r="F689" s="2" t="s">
        <v>104</v>
      </c>
      <c r="G689" s="2" t="s">
        <v>9</v>
      </c>
      <c r="H689" s="2" t="s">
        <v>72</v>
      </c>
      <c r="I689" s="2" t="s">
        <v>72</v>
      </c>
      <c r="J689" s="2" t="s">
        <v>16</v>
      </c>
      <c r="K689" s="2" t="s">
        <v>21</v>
      </c>
      <c r="L689" s="2">
        <v>9</v>
      </c>
      <c r="M689" s="2">
        <v>46641</v>
      </c>
      <c r="N689" s="2">
        <v>20</v>
      </c>
      <c r="O689" s="2">
        <v>335815.2</v>
      </c>
      <c r="P689" s="6">
        <v>26840.720000000001</v>
      </c>
    </row>
    <row r="690" spans="1:16" x14ac:dyDescent="0.3">
      <c r="A690" s="5" t="s">
        <v>1154</v>
      </c>
      <c r="B690" s="2" t="s">
        <v>1155</v>
      </c>
      <c r="C690" s="2" t="str">
        <f t="shared" si="10"/>
        <v>January</v>
      </c>
      <c r="D690" s="2" t="s">
        <v>3</v>
      </c>
      <c r="E690" s="2" t="s">
        <v>75</v>
      </c>
      <c r="F690" s="2" t="s">
        <v>75</v>
      </c>
      <c r="G690" s="2" t="s">
        <v>10</v>
      </c>
      <c r="H690" s="2" t="s">
        <v>83</v>
      </c>
      <c r="I690" s="2" t="s">
        <v>83</v>
      </c>
      <c r="J690" s="2" t="s">
        <v>18</v>
      </c>
      <c r="K690" s="2" t="s">
        <v>21</v>
      </c>
      <c r="L690" s="2">
        <v>2</v>
      </c>
      <c r="M690" s="2">
        <v>9628</v>
      </c>
      <c r="N690" s="2">
        <v>5</v>
      </c>
      <c r="O690" s="2">
        <v>18293.2</v>
      </c>
      <c r="P690" s="6">
        <v>5260.88</v>
      </c>
    </row>
    <row r="691" spans="1:16" x14ac:dyDescent="0.3">
      <c r="A691" s="5" t="s">
        <v>1156</v>
      </c>
      <c r="B691" s="2" t="s">
        <v>167</v>
      </c>
      <c r="C691" s="2" t="str">
        <f t="shared" si="10"/>
        <v>February</v>
      </c>
      <c r="D691" s="2" t="s">
        <v>3</v>
      </c>
      <c r="E691" s="2" t="s">
        <v>75</v>
      </c>
      <c r="F691" s="2" t="s">
        <v>75</v>
      </c>
      <c r="G691" s="2" t="s">
        <v>10</v>
      </c>
      <c r="H691" s="2" t="s">
        <v>69</v>
      </c>
      <c r="I691" s="2" t="s">
        <v>69</v>
      </c>
      <c r="J691" s="2" t="s">
        <v>17</v>
      </c>
      <c r="K691" s="2" t="s">
        <v>22</v>
      </c>
      <c r="L691" s="2">
        <v>4</v>
      </c>
      <c r="M691" s="2">
        <v>28268</v>
      </c>
      <c r="N691" s="2">
        <v>10</v>
      </c>
      <c r="O691" s="2">
        <v>101764.8</v>
      </c>
      <c r="P691" s="6">
        <v>19237.310000000001</v>
      </c>
    </row>
    <row r="692" spans="1:16" x14ac:dyDescent="0.3">
      <c r="A692" s="5" t="s">
        <v>1157</v>
      </c>
      <c r="B692" s="2" t="s">
        <v>1158</v>
      </c>
      <c r="C692" s="2" t="str">
        <f t="shared" si="10"/>
        <v>August</v>
      </c>
      <c r="D692" s="2" t="s">
        <v>2</v>
      </c>
      <c r="E692" s="2" t="s">
        <v>81</v>
      </c>
      <c r="F692" s="2" t="s">
        <v>82</v>
      </c>
      <c r="G692" s="2" t="s">
        <v>10</v>
      </c>
      <c r="H692" s="2" t="s">
        <v>54</v>
      </c>
      <c r="I692" s="2" t="s">
        <v>54</v>
      </c>
      <c r="J692" s="2" t="s">
        <v>13</v>
      </c>
      <c r="K692" s="2" t="s">
        <v>22</v>
      </c>
      <c r="L692" s="2">
        <v>3</v>
      </c>
      <c r="M692" s="2">
        <v>41493</v>
      </c>
      <c r="N692" s="2">
        <v>5</v>
      </c>
      <c r="O692" s="2">
        <v>118255.05</v>
      </c>
      <c r="P692" s="6">
        <v>7956.48</v>
      </c>
    </row>
    <row r="693" spans="1:16" x14ac:dyDescent="0.3">
      <c r="A693" s="5" t="s">
        <v>1159</v>
      </c>
      <c r="B693" s="2" t="s">
        <v>1160</v>
      </c>
      <c r="C693" s="2" t="str">
        <f t="shared" si="10"/>
        <v>December</v>
      </c>
      <c r="D693" s="2" t="s">
        <v>3</v>
      </c>
      <c r="E693" s="2" t="s">
        <v>75</v>
      </c>
      <c r="F693" s="2" t="s">
        <v>75</v>
      </c>
      <c r="G693" s="2" t="s">
        <v>9</v>
      </c>
      <c r="H693" s="2" t="s">
        <v>72</v>
      </c>
      <c r="I693" s="2" t="s">
        <v>72</v>
      </c>
      <c r="J693" s="2" t="s">
        <v>15</v>
      </c>
      <c r="K693" s="2" t="s">
        <v>21</v>
      </c>
      <c r="L693" s="2">
        <v>3</v>
      </c>
      <c r="M693" s="2">
        <v>17642</v>
      </c>
      <c r="N693" s="2">
        <v>5</v>
      </c>
      <c r="O693" s="2">
        <v>50279.7</v>
      </c>
      <c r="P693" s="6">
        <v>12042.46</v>
      </c>
    </row>
    <row r="694" spans="1:16" x14ac:dyDescent="0.3">
      <c r="A694" s="5" t="s">
        <v>1161</v>
      </c>
      <c r="B694" s="2" t="s">
        <v>736</v>
      </c>
      <c r="C694" s="2" t="str">
        <f t="shared" si="10"/>
        <v>September</v>
      </c>
      <c r="D694" s="2" t="s">
        <v>5</v>
      </c>
      <c r="E694" s="2" t="s">
        <v>57</v>
      </c>
      <c r="F694" s="2" t="s">
        <v>58</v>
      </c>
      <c r="G694" s="2" t="s">
        <v>10</v>
      </c>
      <c r="H694" s="2" t="s">
        <v>100</v>
      </c>
      <c r="I694" s="2" t="s">
        <v>100</v>
      </c>
      <c r="J694" s="2" t="s">
        <v>14</v>
      </c>
      <c r="K694" s="2" t="s">
        <v>21</v>
      </c>
      <c r="L694" s="2">
        <v>5</v>
      </c>
      <c r="M694" s="2">
        <v>42606</v>
      </c>
      <c r="N694" s="2">
        <v>10</v>
      </c>
      <c r="O694" s="2">
        <v>191727</v>
      </c>
      <c r="P694" s="6">
        <v>19323.72</v>
      </c>
    </row>
    <row r="695" spans="1:16" x14ac:dyDescent="0.3">
      <c r="A695" s="5" t="s">
        <v>1162</v>
      </c>
      <c r="B695" s="2" t="s">
        <v>1163</v>
      </c>
      <c r="C695" s="2" t="str">
        <f t="shared" si="10"/>
        <v>February</v>
      </c>
      <c r="D695" s="2" t="s">
        <v>4</v>
      </c>
      <c r="E695" s="2" t="s">
        <v>62</v>
      </c>
      <c r="F695" s="2" t="s">
        <v>63</v>
      </c>
      <c r="G695" s="2" t="s">
        <v>8</v>
      </c>
      <c r="H695" s="2" t="s">
        <v>64</v>
      </c>
      <c r="I695" s="2" t="s">
        <v>64</v>
      </c>
      <c r="J695" s="2" t="s">
        <v>14</v>
      </c>
      <c r="K695" s="2" t="s">
        <v>22</v>
      </c>
      <c r="L695" s="2">
        <v>4</v>
      </c>
      <c r="M695" s="2">
        <v>42483</v>
      </c>
      <c r="N695" s="2">
        <v>10</v>
      </c>
      <c r="O695" s="2">
        <v>152938.79999999999</v>
      </c>
      <c r="P695" s="6">
        <v>28514.42</v>
      </c>
    </row>
    <row r="696" spans="1:16" x14ac:dyDescent="0.3">
      <c r="A696" s="5" t="s">
        <v>1164</v>
      </c>
      <c r="B696" s="2" t="s">
        <v>391</v>
      </c>
      <c r="C696" s="2" t="str">
        <f t="shared" si="10"/>
        <v>March</v>
      </c>
      <c r="D696" s="2" t="s">
        <v>4</v>
      </c>
      <c r="E696" s="2" t="s">
        <v>62</v>
      </c>
      <c r="F696" s="2" t="s">
        <v>63</v>
      </c>
      <c r="G696" s="2" t="s">
        <v>9</v>
      </c>
      <c r="H696" s="2" t="s">
        <v>72</v>
      </c>
      <c r="I696" s="2" t="s">
        <v>72</v>
      </c>
      <c r="J696" s="2" t="s">
        <v>14</v>
      </c>
      <c r="K696" s="2" t="s">
        <v>21</v>
      </c>
      <c r="L696" s="2">
        <v>1</v>
      </c>
      <c r="M696" s="2">
        <v>34765</v>
      </c>
      <c r="N696" s="2">
        <v>15</v>
      </c>
      <c r="O696" s="2">
        <v>29550.25</v>
      </c>
      <c r="P696" s="6">
        <v>1854.8</v>
      </c>
    </row>
    <row r="697" spans="1:16" x14ac:dyDescent="0.3">
      <c r="A697" s="5" t="s">
        <v>1165</v>
      </c>
      <c r="B697" s="2" t="s">
        <v>167</v>
      </c>
      <c r="C697" s="2" t="str">
        <f t="shared" si="10"/>
        <v>February</v>
      </c>
      <c r="D697" s="2" t="s">
        <v>3</v>
      </c>
      <c r="E697" s="2" t="s">
        <v>75</v>
      </c>
      <c r="F697" s="2" t="s">
        <v>75</v>
      </c>
      <c r="G697" s="2" t="s">
        <v>8</v>
      </c>
      <c r="H697" s="2" t="s">
        <v>93</v>
      </c>
      <c r="I697" s="2" t="s">
        <v>93</v>
      </c>
      <c r="J697" s="2" t="s">
        <v>14</v>
      </c>
      <c r="K697" s="2" t="s">
        <v>22</v>
      </c>
      <c r="L697" s="2">
        <v>6</v>
      </c>
      <c r="M697" s="2">
        <v>24295</v>
      </c>
      <c r="N697" s="2">
        <v>5</v>
      </c>
      <c r="O697" s="2">
        <v>138481.5</v>
      </c>
      <c r="P697" s="6">
        <v>24574.13</v>
      </c>
    </row>
    <row r="698" spans="1:16" x14ac:dyDescent="0.3">
      <c r="A698" s="5" t="s">
        <v>1166</v>
      </c>
      <c r="B698" s="2" t="s">
        <v>177</v>
      </c>
      <c r="C698" s="2" t="str">
        <f t="shared" si="10"/>
        <v>September</v>
      </c>
      <c r="D698" s="2" t="s">
        <v>5</v>
      </c>
      <c r="E698" s="2" t="s">
        <v>57</v>
      </c>
      <c r="F698" s="2" t="s">
        <v>58</v>
      </c>
      <c r="G698" s="2" t="s">
        <v>9</v>
      </c>
      <c r="H698" s="2" t="s">
        <v>72</v>
      </c>
      <c r="I698" s="2" t="s">
        <v>72</v>
      </c>
      <c r="J698" s="2" t="s">
        <v>14</v>
      </c>
      <c r="K698" s="2" t="s">
        <v>21</v>
      </c>
      <c r="L698" s="2">
        <v>2</v>
      </c>
      <c r="M698" s="2">
        <v>24432</v>
      </c>
      <c r="N698" s="2">
        <v>15</v>
      </c>
      <c r="O698" s="2">
        <v>41534.400000000001</v>
      </c>
      <c r="P698" s="6">
        <v>7095.09</v>
      </c>
    </row>
    <row r="699" spans="1:16" x14ac:dyDescent="0.3">
      <c r="A699" s="5" t="s">
        <v>1167</v>
      </c>
      <c r="B699" s="2" t="s">
        <v>112</v>
      </c>
      <c r="C699" s="2" t="str">
        <f t="shared" si="10"/>
        <v>November</v>
      </c>
      <c r="D699" s="2" t="s">
        <v>5</v>
      </c>
      <c r="E699" s="2" t="s">
        <v>57</v>
      </c>
      <c r="F699" s="2" t="s">
        <v>58</v>
      </c>
      <c r="G699" s="2" t="s">
        <v>9</v>
      </c>
      <c r="H699" s="2" t="s">
        <v>126</v>
      </c>
      <c r="I699" s="2" t="s">
        <v>126</v>
      </c>
      <c r="J699" s="2" t="s">
        <v>13</v>
      </c>
      <c r="K699" s="2" t="s">
        <v>22</v>
      </c>
      <c r="L699" s="2">
        <v>3</v>
      </c>
      <c r="M699" s="2">
        <v>45209</v>
      </c>
      <c r="N699" s="2">
        <v>5</v>
      </c>
      <c r="O699" s="2">
        <v>128845.65</v>
      </c>
      <c r="P699" s="6">
        <v>24962.38</v>
      </c>
    </row>
    <row r="700" spans="1:16" x14ac:dyDescent="0.3">
      <c r="A700" s="5" t="s">
        <v>1168</v>
      </c>
      <c r="B700" s="2" t="s">
        <v>183</v>
      </c>
      <c r="C700" s="2" t="str">
        <f t="shared" si="10"/>
        <v>March</v>
      </c>
      <c r="D700" s="2" t="s">
        <v>3</v>
      </c>
      <c r="E700" s="2" t="s">
        <v>117</v>
      </c>
      <c r="F700" s="2" t="s">
        <v>117</v>
      </c>
      <c r="G700" s="2" t="s">
        <v>8</v>
      </c>
      <c r="H700" s="2" t="s">
        <v>133</v>
      </c>
      <c r="I700" s="2" t="s">
        <v>133</v>
      </c>
      <c r="J700" s="2" t="s">
        <v>14</v>
      </c>
      <c r="K700" s="2" t="s">
        <v>22</v>
      </c>
      <c r="L700" s="2">
        <v>9</v>
      </c>
      <c r="M700" s="2">
        <v>19864</v>
      </c>
      <c r="N700" s="2">
        <v>10</v>
      </c>
      <c r="O700" s="2">
        <v>160898.4</v>
      </c>
      <c r="P700" s="6">
        <v>30947.59</v>
      </c>
    </row>
    <row r="701" spans="1:16" x14ac:dyDescent="0.3">
      <c r="A701" s="5" t="s">
        <v>1169</v>
      </c>
      <c r="B701" s="2" t="s">
        <v>132</v>
      </c>
      <c r="C701" s="2" t="str">
        <f t="shared" si="10"/>
        <v>February</v>
      </c>
      <c r="D701" s="2" t="s">
        <v>5</v>
      </c>
      <c r="E701" s="2" t="s">
        <v>52</v>
      </c>
      <c r="F701" s="2" t="s">
        <v>53</v>
      </c>
      <c r="G701" s="2" t="s">
        <v>8</v>
      </c>
      <c r="H701" s="2" t="s">
        <v>76</v>
      </c>
      <c r="I701" s="2" t="s">
        <v>76</v>
      </c>
      <c r="J701" s="2" t="s">
        <v>15</v>
      </c>
      <c r="K701" s="2" t="s">
        <v>21</v>
      </c>
      <c r="L701" s="2">
        <v>3</v>
      </c>
      <c r="M701" s="2">
        <v>22231</v>
      </c>
      <c r="N701" s="2">
        <v>0</v>
      </c>
      <c r="O701" s="2">
        <v>66693</v>
      </c>
      <c r="P701" s="6">
        <v>8923.8799999999992</v>
      </c>
    </row>
    <row r="702" spans="1:16" x14ac:dyDescent="0.3">
      <c r="A702" s="5" t="s">
        <v>1170</v>
      </c>
      <c r="B702" s="2" t="s">
        <v>349</v>
      </c>
      <c r="C702" s="2" t="str">
        <f t="shared" si="10"/>
        <v>June</v>
      </c>
      <c r="D702" s="2" t="s">
        <v>4</v>
      </c>
      <c r="E702" s="2" t="s">
        <v>67</v>
      </c>
      <c r="F702" s="2" t="s">
        <v>68</v>
      </c>
      <c r="G702" s="2" t="s">
        <v>10</v>
      </c>
      <c r="H702" s="2" t="s">
        <v>100</v>
      </c>
      <c r="I702" s="2" t="s">
        <v>100</v>
      </c>
      <c r="J702" s="2" t="s">
        <v>12</v>
      </c>
      <c r="K702" s="2" t="s">
        <v>21</v>
      </c>
      <c r="L702" s="2">
        <v>10</v>
      </c>
      <c r="M702" s="2">
        <v>28250</v>
      </c>
      <c r="N702" s="2">
        <v>15</v>
      </c>
      <c r="O702" s="2">
        <v>240125</v>
      </c>
      <c r="P702" s="6">
        <v>52536.7</v>
      </c>
    </row>
    <row r="703" spans="1:16" x14ac:dyDescent="0.3">
      <c r="A703" s="5" t="s">
        <v>1171</v>
      </c>
      <c r="B703" s="2" t="s">
        <v>302</v>
      </c>
      <c r="C703" s="2" t="str">
        <f t="shared" si="10"/>
        <v>April</v>
      </c>
      <c r="D703" s="2" t="s">
        <v>3</v>
      </c>
      <c r="E703" s="2" t="s">
        <v>75</v>
      </c>
      <c r="F703" s="2" t="s">
        <v>75</v>
      </c>
      <c r="G703" s="2" t="s">
        <v>8</v>
      </c>
      <c r="H703" s="2" t="s">
        <v>93</v>
      </c>
      <c r="I703" s="2" t="s">
        <v>93</v>
      </c>
      <c r="J703" s="2" t="s">
        <v>18</v>
      </c>
      <c r="K703" s="2" t="s">
        <v>21</v>
      </c>
      <c r="L703" s="2">
        <v>5</v>
      </c>
      <c r="M703" s="2">
        <v>1193</v>
      </c>
      <c r="N703" s="2">
        <v>5</v>
      </c>
      <c r="O703" s="2">
        <v>5666.75</v>
      </c>
      <c r="P703" s="6">
        <v>982.75</v>
      </c>
    </row>
    <row r="704" spans="1:16" x14ac:dyDescent="0.3">
      <c r="A704" s="5" t="s">
        <v>1172</v>
      </c>
      <c r="B704" s="2" t="s">
        <v>561</v>
      </c>
      <c r="C704" s="2" t="str">
        <f t="shared" si="10"/>
        <v>July</v>
      </c>
      <c r="D704" s="2" t="s">
        <v>3</v>
      </c>
      <c r="E704" s="2" t="s">
        <v>75</v>
      </c>
      <c r="F704" s="2" t="s">
        <v>75</v>
      </c>
      <c r="G704" s="2" t="s">
        <v>10</v>
      </c>
      <c r="H704" s="2" t="s">
        <v>100</v>
      </c>
      <c r="I704" s="2" t="s">
        <v>100</v>
      </c>
      <c r="J704" s="2" t="s">
        <v>13</v>
      </c>
      <c r="K704" s="2" t="s">
        <v>22</v>
      </c>
      <c r="L704" s="2">
        <v>6</v>
      </c>
      <c r="M704" s="2">
        <v>22455</v>
      </c>
      <c r="N704" s="2">
        <v>15</v>
      </c>
      <c r="O704" s="2">
        <v>114520.5</v>
      </c>
      <c r="P704" s="6">
        <v>28584.27</v>
      </c>
    </row>
    <row r="705" spans="1:16" x14ac:dyDescent="0.3">
      <c r="A705" s="5" t="s">
        <v>1173</v>
      </c>
      <c r="B705" s="2" t="s">
        <v>868</v>
      </c>
      <c r="C705" s="2" t="str">
        <f t="shared" si="10"/>
        <v>June</v>
      </c>
      <c r="D705" s="2" t="s">
        <v>3</v>
      </c>
      <c r="E705" s="2" t="s">
        <v>117</v>
      </c>
      <c r="F705" s="2" t="s">
        <v>117</v>
      </c>
      <c r="G705" s="2" t="s">
        <v>9</v>
      </c>
      <c r="H705" s="2" t="s">
        <v>90</v>
      </c>
      <c r="I705" s="2" t="s">
        <v>90</v>
      </c>
      <c r="J705" s="2" t="s">
        <v>17</v>
      </c>
      <c r="K705" s="2" t="s">
        <v>22</v>
      </c>
      <c r="L705" s="2">
        <v>3</v>
      </c>
      <c r="M705" s="2">
        <v>4918</v>
      </c>
      <c r="N705" s="2">
        <v>10</v>
      </c>
      <c r="O705" s="2">
        <v>13278.6</v>
      </c>
      <c r="P705" s="6">
        <v>3277.29</v>
      </c>
    </row>
    <row r="706" spans="1:16" x14ac:dyDescent="0.3">
      <c r="A706" s="5" t="s">
        <v>1174</v>
      </c>
      <c r="B706" s="2" t="s">
        <v>1175</v>
      </c>
      <c r="C706" s="2" t="str">
        <f t="shared" si="10"/>
        <v>March</v>
      </c>
      <c r="D706" s="2" t="s">
        <v>4</v>
      </c>
      <c r="E706" s="2" t="s">
        <v>67</v>
      </c>
      <c r="F706" s="2" t="s">
        <v>68</v>
      </c>
      <c r="G706" s="2" t="s">
        <v>9</v>
      </c>
      <c r="H706" s="2" t="s">
        <v>59</v>
      </c>
      <c r="I706" s="2" t="s">
        <v>59</v>
      </c>
      <c r="J706" s="2" t="s">
        <v>16</v>
      </c>
      <c r="K706" s="2" t="s">
        <v>22</v>
      </c>
      <c r="L706" s="2">
        <v>5</v>
      </c>
      <c r="M706" s="2">
        <v>30138</v>
      </c>
      <c r="N706" s="2">
        <v>10</v>
      </c>
      <c r="O706" s="2">
        <v>135621</v>
      </c>
      <c r="P706" s="6">
        <v>30985.22</v>
      </c>
    </row>
    <row r="707" spans="1:16" x14ac:dyDescent="0.3">
      <c r="A707" s="5" t="s">
        <v>1176</v>
      </c>
      <c r="B707" s="2" t="s">
        <v>92</v>
      </c>
      <c r="C707" s="2" t="str">
        <f t="shared" ref="C707:C770" si="11">TEXT(B707,"mmmm")</f>
        <v>May</v>
      </c>
      <c r="D707" s="2" t="s">
        <v>5</v>
      </c>
      <c r="E707" s="2" t="s">
        <v>52</v>
      </c>
      <c r="F707" s="2" t="s">
        <v>53</v>
      </c>
      <c r="G707" s="2" t="s">
        <v>8</v>
      </c>
      <c r="H707" s="2" t="s">
        <v>133</v>
      </c>
      <c r="I707" s="2" t="s">
        <v>133</v>
      </c>
      <c r="J707" s="2" t="s">
        <v>13</v>
      </c>
      <c r="K707" s="2" t="s">
        <v>21</v>
      </c>
      <c r="L707" s="2">
        <v>1</v>
      </c>
      <c r="M707" s="2">
        <v>40995</v>
      </c>
      <c r="N707" s="2">
        <v>20</v>
      </c>
      <c r="O707" s="2">
        <v>32796</v>
      </c>
      <c r="P707" s="6">
        <v>8952.9500000000007</v>
      </c>
    </row>
    <row r="708" spans="1:16" x14ac:dyDescent="0.3">
      <c r="A708" s="5" t="s">
        <v>1177</v>
      </c>
      <c r="B708" s="2" t="s">
        <v>1178</v>
      </c>
      <c r="C708" s="2" t="str">
        <f t="shared" si="11"/>
        <v>March</v>
      </c>
      <c r="D708" s="2" t="s">
        <v>4</v>
      </c>
      <c r="E708" s="2" t="s">
        <v>67</v>
      </c>
      <c r="F708" s="2" t="s">
        <v>68</v>
      </c>
      <c r="G708" s="2" t="s">
        <v>8</v>
      </c>
      <c r="H708" s="2" t="s">
        <v>93</v>
      </c>
      <c r="I708" s="2" t="s">
        <v>93</v>
      </c>
      <c r="J708" s="2" t="s">
        <v>16</v>
      </c>
      <c r="K708" s="2" t="s">
        <v>21</v>
      </c>
      <c r="L708" s="2">
        <v>1</v>
      </c>
      <c r="M708" s="2">
        <v>695</v>
      </c>
      <c r="N708" s="2">
        <v>0</v>
      </c>
      <c r="O708" s="2">
        <v>695</v>
      </c>
      <c r="P708" s="6">
        <v>74.66</v>
      </c>
    </row>
    <row r="709" spans="1:16" x14ac:dyDescent="0.3">
      <c r="A709" s="5" t="s">
        <v>1179</v>
      </c>
      <c r="B709" s="2" t="s">
        <v>121</v>
      </c>
      <c r="C709" s="2" t="str">
        <f t="shared" si="11"/>
        <v>March</v>
      </c>
      <c r="D709" s="2" t="s">
        <v>3</v>
      </c>
      <c r="E709" s="2" t="s">
        <v>117</v>
      </c>
      <c r="F709" s="2" t="s">
        <v>117</v>
      </c>
      <c r="G709" s="2" t="s">
        <v>9</v>
      </c>
      <c r="H709" s="2" t="s">
        <v>90</v>
      </c>
      <c r="I709" s="2" t="s">
        <v>90</v>
      </c>
      <c r="J709" s="2" t="s">
        <v>16</v>
      </c>
      <c r="K709" s="2" t="s">
        <v>21</v>
      </c>
      <c r="L709" s="2">
        <v>5</v>
      </c>
      <c r="M709" s="2">
        <v>35923</v>
      </c>
      <c r="N709" s="2">
        <v>15</v>
      </c>
      <c r="O709" s="2">
        <v>152672.75</v>
      </c>
      <c r="P709" s="6">
        <v>35304.19</v>
      </c>
    </row>
    <row r="710" spans="1:16" x14ac:dyDescent="0.3">
      <c r="A710" s="5" t="s">
        <v>1180</v>
      </c>
      <c r="B710" s="2" t="s">
        <v>692</v>
      </c>
      <c r="C710" s="2" t="str">
        <f t="shared" si="11"/>
        <v>January</v>
      </c>
      <c r="D710" s="2" t="s">
        <v>3</v>
      </c>
      <c r="E710" s="2" t="s">
        <v>75</v>
      </c>
      <c r="F710" s="2" t="s">
        <v>75</v>
      </c>
      <c r="G710" s="2" t="s">
        <v>8</v>
      </c>
      <c r="H710" s="2" t="s">
        <v>76</v>
      </c>
      <c r="I710" s="2" t="s">
        <v>76</v>
      </c>
      <c r="J710" s="2" t="s">
        <v>18</v>
      </c>
      <c r="K710" s="2" t="s">
        <v>22</v>
      </c>
      <c r="L710" s="2">
        <v>3</v>
      </c>
      <c r="M710" s="2">
        <v>24369</v>
      </c>
      <c r="N710" s="2">
        <v>10</v>
      </c>
      <c r="O710" s="2">
        <v>65796.3</v>
      </c>
      <c r="P710" s="6">
        <v>3677.89</v>
      </c>
    </row>
    <row r="711" spans="1:16" x14ac:dyDescent="0.3">
      <c r="A711" s="5" t="s">
        <v>1181</v>
      </c>
      <c r="B711" s="2" t="s">
        <v>692</v>
      </c>
      <c r="C711" s="2" t="str">
        <f t="shared" si="11"/>
        <v>January</v>
      </c>
      <c r="D711" s="2" t="s">
        <v>5</v>
      </c>
      <c r="E711" s="2" t="s">
        <v>52</v>
      </c>
      <c r="F711" s="2" t="s">
        <v>53</v>
      </c>
      <c r="G711" s="2" t="s">
        <v>8</v>
      </c>
      <c r="H711" s="2" t="s">
        <v>64</v>
      </c>
      <c r="I711" s="2" t="s">
        <v>64</v>
      </c>
      <c r="J711" s="2" t="s">
        <v>15</v>
      </c>
      <c r="K711" s="2" t="s">
        <v>22</v>
      </c>
      <c r="L711" s="2">
        <v>9</v>
      </c>
      <c r="M711" s="2">
        <v>46190</v>
      </c>
      <c r="N711" s="2">
        <v>15</v>
      </c>
      <c r="O711" s="2">
        <v>353353.5</v>
      </c>
      <c r="P711" s="6">
        <v>33871.35</v>
      </c>
    </row>
    <row r="712" spans="1:16" x14ac:dyDescent="0.3">
      <c r="A712" s="5" t="s">
        <v>1182</v>
      </c>
      <c r="B712" s="2" t="s">
        <v>682</v>
      </c>
      <c r="C712" s="2" t="str">
        <f t="shared" si="11"/>
        <v>December</v>
      </c>
      <c r="D712" s="2" t="s">
        <v>5</v>
      </c>
      <c r="E712" s="2" t="s">
        <v>57</v>
      </c>
      <c r="F712" s="2" t="s">
        <v>58</v>
      </c>
      <c r="G712" s="2" t="s">
        <v>10</v>
      </c>
      <c r="H712" s="2" t="s">
        <v>100</v>
      </c>
      <c r="I712" s="2" t="s">
        <v>100</v>
      </c>
      <c r="J712" s="2" t="s">
        <v>15</v>
      </c>
      <c r="K712" s="2" t="s">
        <v>21</v>
      </c>
      <c r="L712" s="2">
        <v>3</v>
      </c>
      <c r="M712" s="2">
        <v>31801</v>
      </c>
      <c r="N712" s="2">
        <v>20</v>
      </c>
      <c r="O712" s="2">
        <v>76322.399999999994</v>
      </c>
      <c r="P712" s="6">
        <v>18227.259999999998</v>
      </c>
    </row>
    <row r="713" spans="1:16" x14ac:dyDescent="0.3">
      <c r="A713" s="5" t="s">
        <v>1183</v>
      </c>
      <c r="B713" s="2" t="s">
        <v>1140</v>
      </c>
      <c r="C713" s="2" t="str">
        <f t="shared" si="11"/>
        <v>July</v>
      </c>
      <c r="D713" s="2" t="s">
        <v>4</v>
      </c>
      <c r="E713" s="2" t="s">
        <v>62</v>
      </c>
      <c r="F713" s="2" t="s">
        <v>63</v>
      </c>
      <c r="G713" s="2" t="s">
        <v>10</v>
      </c>
      <c r="H713" s="2" t="s">
        <v>100</v>
      </c>
      <c r="I713" s="2" t="s">
        <v>100</v>
      </c>
      <c r="J713" s="2" t="s">
        <v>12</v>
      </c>
      <c r="K713" s="2" t="s">
        <v>21</v>
      </c>
      <c r="L713" s="2">
        <v>8</v>
      </c>
      <c r="M713" s="2">
        <v>7208</v>
      </c>
      <c r="N713" s="2">
        <v>20</v>
      </c>
      <c r="O713" s="2">
        <v>46131.199999999997</v>
      </c>
      <c r="P713" s="6">
        <v>9614.98</v>
      </c>
    </row>
    <row r="714" spans="1:16" x14ac:dyDescent="0.3">
      <c r="A714" s="5" t="s">
        <v>1184</v>
      </c>
      <c r="B714" s="2" t="s">
        <v>179</v>
      </c>
      <c r="C714" s="2" t="str">
        <f t="shared" si="11"/>
        <v>August</v>
      </c>
      <c r="D714" s="2" t="s">
        <v>2</v>
      </c>
      <c r="E714" s="2" t="s">
        <v>81</v>
      </c>
      <c r="F714" s="2" t="s">
        <v>82</v>
      </c>
      <c r="G714" s="2" t="s">
        <v>8</v>
      </c>
      <c r="H714" s="2" t="s">
        <v>93</v>
      </c>
      <c r="I714" s="2" t="s">
        <v>93</v>
      </c>
      <c r="J714" s="2" t="s">
        <v>17</v>
      </c>
      <c r="K714" s="2" t="s">
        <v>21</v>
      </c>
      <c r="L714" s="2">
        <v>6</v>
      </c>
      <c r="M714" s="2">
        <v>16936</v>
      </c>
      <c r="N714" s="2">
        <v>15</v>
      </c>
      <c r="O714" s="2">
        <v>86373.6</v>
      </c>
      <c r="P714" s="6">
        <v>24099.439999999999</v>
      </c>
    </row>
    <row r="715" spans="1:16" x14ac:dyDescent="0.3">
      <c r="A715" s="5" t="s">
        <v>1185</v>
      </c>
      <c r="B715" s="2" t="s">
        <v>721</v>
      </c>
      <c r="C715" s="2" t="str">
        <f t="shared" si="11"/>
        <v>January</v>
      </c>
      <c r="D715" s="2" t="s">
        <v>3</v>
      </c>
      <c r="E715" s="2" t="s">
        <v>75</v>
      </c>
      <c r="F715" s="2" t="s">
        <v>75</v>
      </c>
      <c r="G715" s="2" t="s">
        <v>8</v>
      </c>
      <c r="H715" s="2" t="s">
        <v>64</v>
      </c>
      <c r="I715" s="2" t="s">
        <v>64</v>
      </c>
      <c r="J715" s="2" t="s">
        <v>17</v>
      </c>
      <c r="K715" s="2" t="s">
        <v>21</v>
      </c>
      <c r="L715" s="2">
        <v>6</v>
      </c>
      <c r="M715" s="2">
        <v>39642</v>
      </c>
      <c r="N715" s="2">
        <v>10</v>
      </c>
      <c r="O715" s="2">
        <v>214066.8</v>
      </c>
      <c r="P715" s="6">
        <v>25885.35</v>
      </c>
    </row>
    <row r="716" spans="1:16" x14ac:dyDescent="0.3">
      <c r="A716" s="5" t="s">
        <v>1186</v>
      </c>
      <c r="B716" s="2" t="s">
        <v>858</v>
      </c>
      <c r="C716" s="2" t="str">
        <f t="shared" si="11"/>
        <v>January</v>
      </c>
      <c r="D716" s="2" t="s">
        <v>3</v>
      </c>
      <c r="E716" s="2" t="s">
        <v>117</v>
      </c>
      <c r="F716" s="2" t="s">
        <v>117</v>
      </c>
      <c r="G716" s="2" t="s">
        <v>9</v>
      </c>
      <c r="H716" s="2" t="s">
        <v>59</v>
      </c>
      <c r="I716" s="2" t="s">
        <v>59</v>
      </c>
      <c r="J716" s="2" t="s">
        <v>18</v>
      </c>
      <c r="K716" s="2" t="s">
        <v>21</v>
      </c>
      <c r="L716" s="2">
        <v>7</v>
      </c>
      <c r="M716" s="2">
        <v>38499</v>
      </c>
      <c r="N716" s="2">
        <v>0</v>
      </c>
      <c r="O716" s="2">
        <v>269493</v>
      </c>
      <c r="P716" s="6">
        <v>46512.63</v>
      </c>
    </row>
    <row r="717" spans="1:16" x14ac:dyDescent="0.3">
      <c r="A717" s="5" t="s">
        <v>1187</v>
      </c>
      <c r="B717" s="2" t="s">
        <v>1069</v>
      </c>
      <c r="C717" s="2" t="str">
        <f t="shared" si="11"/>
        <v>October</v>
      </c>
      <c r="D717" s="2" t="s">
        <v>4</v>
      </c>
      <c r="E717" s="2" t="s">
        <v>67</v>
      </c>
      <c r="F717" s="2" t="s">
        <v>68</v>
      </c>
      <c r="G717" s="2" t="s">
        <v>8</v>
      </c>
      <c r="H717" s="2" t="s">
        <v>133</v>
      </c>
      <c r="I717" s="2" t="s">
        <v>133</v>
      </c>
      <c r="J717" s="2" t="s">
        <v>12</v>
      </c>
      <c r="K717" s="2" t="s">
        <v>22</v>
      </c>
      <c r="L717" s="2">
        <v>2</v>
      </c>
      <c r="M717" s="2">
        <v>37264</v>
      </c>
      <c r="N717" s="2">
        <v>10</v>
      </c>
      <c r="O717" s="2">
        <v>67075.199999999997</v>
      </c>
      <c r="P717" s="6">
        <v>6347.08</v>
      </c>
    </row>
    <row r="718" spans="1:16" x14ac:dyDescent="0.3">
      <c r="A718" s="5" t="s">
        <v>1188</v>
      </c>
      <c r="B718" s="2" t="s">
        <v>1189</v>
      </c>
      <c r="C718" s="2" t="str">
        <f t="shared" si="11"/>
        <v>October</v>
      </c>
      <c r="D718" s="2" t="s">
        <v>3</v>
      </c>
      <c r="E718" s="2" t="s">
        <v>117</v>
      </c>
      <c r="F718" s="2" t="s">
        <v>117</v>
      </c>
      <c r="G718" s="2" t="s">
        <v>8</v>
      </c>
      <c r="H718" s="2" t="s">
        <v>133</v>
      </c>
      <c r="I718" s="2" t="s">
        <v>133</v>
      </c>
      <c r="J718" s="2" t="s">
        <v>16</v>
      </c>
      <c r="K718" s="2" t="s">
        <v>21</v>
      </c>
      <c r="L718" s="2">
        <v>9</v>
      </c>
      <c r="M718" s="2">
        <v>6488</v>
      </c>
      <c r="N718" s="2">
        <v>5</v>
      </c>
      <c r="O718" s="2">
        <v>55472.4</v>
      </c>
      <c r="P718" s="6">
        <v>13690.81</v>
      </c>
    </row>
    <row r="719" spans="1:16" x14ac:dyDescent="0.3">
      <c r="A719" s="5" t="s">
        <v>1190</v>
      </c>
      <c r="B719" s="2" t="s">
        <v>903</v>
      </c>
      <c r="C719" s="2" t="str">
        <f t="shared" si="11"/>
        <v>May</v>
      </c>
      <c r="D719" s="2" t="s">
        <v>3</v>
      </c>
      <c r="E719" s="2" t="s">
        <v>117</v>
      </c>
      <c r="F719" s="2" t="s">
        <v>117</v>
      </c>
      <c r="G719" s="2" t="s">
        <v>10</v>
      </c>
      <c r="H719" s="2" t="s">
        <v>69</v>
      </c>
      <c r="I719" s="2" t="s">
        <v>69</v>
      </c>
      <c r="J719" s="2" t="s">
        <v>13</v>
      </c>
      <c r="K719" s="2" t="s">
        <v>22</v>
      </c>
      <c r="L719" s="2">
        <v>4</v>
      </c>
      <c r="M719" s="2">
        <v>8369</v>
      </c>
      <c r="N719" s="2">
        <v>20</v>
      </c>
      <c r="O719" s="2">
        <v>26780.799999999999</v>
      </c>
      <c r="P719" s="6">
        <v>2838.7</v>
      </c>
    </row>
    <row r="720" spans="1:16" x14ac:dyDescent="0.3">
      <c r="A720" s="5" t="s">
        <v>1191</v>
      </c>
      <c r="B720" s="2" t="s">
        <v>1192</v>
      </c>
      <c r="C720" s="2" t="str">
        <f t="shared" si="11"/>
        <v>March</v>
      </c>
      <c r="D720" s="2" t="s">
        <v>3</v>
      </c>
      <c r="E720" s="2" t="s">
        <v>117</v>
      </c>
      <c r="F720" s="2" t="s">
        <v>117</v>
      </c>
      <c r="G720" s="2" t="s">
        <v>10</v>
      </c>
      <c r="H720" s="2" t="s">
        <v>83</v>
      </c>
      <c r="I720" s="2" t="s">
        <v>83</v>
      </c>
      <c r="J720" s="2" t="s">
        <v>12</v>
      </c>
      <c r="K720" s="2" t="s">
        <v>22</v>
      </c>
      <c r="L720" s="2">
        <v>4</v>
      </c>
      <c r="M720" s="2">
        <v>9305</v>
      </c>
      <c r="N720" s="2">
        <v>0</v>
      </c>
      <c r="O720" s="2">
        <v>37220</v>
      </c>
      <c r="P720" s="6">
        <v>7459.46</v>
      </c>
    </row>
    <row r="721" spans="1:16" x14ac:dyDescent="0.3">
      <c r="A721" s="5" t="s">
        <v>1193</v>
      </c>
      <c r="B721" s="2" t="s">
        <v>1194</v>
      </c>
      <c r="C721" s="2" t="str">
        <f t="shared" si="11"/>
        <v>February</v>
      </c>
      <c r="D721" s="2" t="s">
        <v>4</v>
      </c>
      <c r="E721" s="2" t="s">
        <v>67</v>
      </c>
      <c r="F721" s="2" t="s">
        <v>68</v>
      </c>
      <c r="G721" s="2" t="s">
        <v>9</v>
      </c>
      <c r="H721" s="2" t="s">
        <v>90</v>
      </c>
      <c r="I721" s="2" t="s">
        <v>90</v>
      </c>
      <c r="J721" s="2" t="s">
        <v>17</v>
      </c>
      <c r="K721" s="2" t="s">
        <v>21</v>
      </c>
      <c r="L721" s="2">
        <v>2</v>
      </c>
      <c r="M721" s="2">
        <v>23525</v>
      </c>
      <c r="N721" s="2">
        <v>10</v>
      </c>
      <c r="O721" s="2">
        <v>42345</v>
      </c>
      <c r="P721" s="6">
        <v>3280.61</v>
      </c>
    </row>
    <row r="722" spans="1:16" x14ac:dyDescent="0.3">
      <c r="A722" s="5" t="s">
        <v>1195</v>
      </c>
      <c r="B722" s="2" t="s">
        <v>899</v>
      </c>
      <c r="C722" s="2" t="str">
        <f t="shared" si="11"/>
        <v>October</v>
      </c>
      <c r="D722" s="2" t="s">
        <v>2</v>
      </c>
      <c r="E722" s="2" t="s">
        <v>81</v>
      </c>
      <c r="F722" s="2" t="s">
        <v>82</v>
      </c>
      <c r="G722" s="2" t="s">
        <v>8</v>
      </c>
      <c r="H722" s="2" t="s">
        <v>93</v>
      </c>
      <c r="I722" s="2" t="s">
        <v>93</v>
      </c>
      <c r="J722" s="2" t="s">
        <v>18</v>
      </c>
      <c r="K722" s="2" t="s">
        <v>21</v>
      </c>
      <c r="L722" s="2">
        <v>7</v>
      </c>
      <c r="M722" s="2">
        <v>34367</v>
      </c>
      <c r="N722" s="2">
        <v>20</v>
      </c>
      <c r="O722" s="2">
        <v>192455.2</v>
      </c>
      <c r="P722" s="6">
        <v>34875.78</v>
      </c>
    </row>
    <row r="723" spans="1:16" x14ac:dyDescent="0.3">
      <c r="A723" s="5" t="s">
        <v>1196</v>
      </c>
      <c r="B723" s="2" t="s">
        <v>132</v>
      </c>
      <c r="C723" s="2" t="str">
        <f t="shared" si="11"/>
        <v>February</v>
      </c>
      <c r="D723" s="2" t="s">
        <v>3</v>
      </c>
      <c r="E723" s="2" t="s">
        <v>117</v>
      </c>
      <c r="F723" s="2" t="s">
        <v>117</v>
      </c>
      <c r="G723" s="2" t="s">
        <v>9</v>
      </c>
      <c r="H723" s="2" t="s">
        <v>72</v>
      </c>
      <c r="I723" s="2" t="s">
        <v>72</v>
      </c>
      <c r="J723" s="2" t="s">
        <v>15</v>
      </c>
      <c r="K723" s="2" t="s">
        <v>21</v>
      </c>
      <c r="L723" s="2">
        <v>9</v>
      </c>
      <c r="M723" s="2">
        <v>1945</v>
      </c>
      <c r="N723" s="2">
        <v>0</v>
      </c>
      <c r="O723" s="2">
        <v>17505</v>
      </c>
      <c r="P723" s="6">
        <v>5102.62</v>
      </c>
    </row>
    <row r="724" spans="1:16" x14ac:dyDescent="0.3">
      <c r="A724" s="5" t="s">
        <v>1197</v>
      </c>
      <c r="B724" s="2" t="s">
        <v>673</v>
      </c>
      <c r="C724" s="2" t="str">
        <f t="shared" si="11"/>
        <v>February</v>
      </c>
      <c r="D724" s="2" t="s">
        <v>3</v>
      </c>
      <c r="E724" s="2" t="s">
        <v>117</v>
      </c>
      <c r="F724" s="2" t="s">
        <v>117</v>
      </c>
      <c r="G724" s="2" t="s">
        <v>8</v>
      </c>
      <c r="H724" s="2" t="s">
        <v>93</v>
      </c>
      <c r="I724" s="2" t="s">
        <v>93</v>
      </c>
      <c r="J724" s="2" t="s">
        <v>12</v>
      </c>
      <c r="K724" s="2" t="s">
        <v>22</v>
      </c>
      <c r="L724" s="2">
        <v>3</v>
      </c>
      <c r="M724" s="2">
        <v>7896</v>
      </c>
      <c r="N724" s="2">
        <v>10</v>
      </c>
      <c r="O724" s="2">
        <v>21319.200000000001</v>
      </c>
      <c r="P724" s="6">
        <v>3490.37</v>
      </c>
    </row>
    <row r="725" spans="1:16" x14ac:dyDescent="0.3">
      <c r="A725" s="5" t="s">
        <v>1198</v>
      </c>
      <c r="B725" s="2" t="s">
        <v>1048</v>
      </c>
      <c r="C725" s="2" t="str">
        <f t="shared" si="11"/>
        <v>February</v>
      </c>
      <c r="D725" s="2" t="s">
        <v>4</v>
      </c>
      <c r="E725" s="2" t="s">
        <v>67</v>
      </c>
      <c r="F725" s="2" t="s">
        <v>68</v>
      </c>
      <c r="G725" s="2" t="s">
        <v>9</v>
      </c>
      <c r="H725" s="2" t="s">
        <v>72</v>
      </c>
      <c r="I725" s="2" t="s">
        <v>72</v>
      </c>
      <c r="J725" s="2" t="s">
        <v>16</v>
      </c>
      <c r="K725" s="2" t="s">
        <v>21</v>
      </c>
      <c r="L725" s="2">
        <v>10</v>
      </c>
      <c r="M725" s="2">
        <v>48467</v>
      </c>
      <c r="N725" s="2">
        <v>15</v>
      </c>
      <c r="O725" s="2">
        <v>411969.5</v>
      </c>
      <c r="P725" s="6">
        <v>109330.66</v>
      </c>
    </row>
    <row r="726" spans="1:16" x14ac:dyDescent="0.3">
      <c r="A726" s="5" t="s">
        <v>1199</v>
      </c>
      <c r="B726" s="2" t="s">
        <v>381</v>
      </c>
      <c r="C726" s="2" t="str">
        <f t="shared" si="11"/>
        <v>September</v>
      </c>
      <c r="D726" s="2" t="s">
        <v>2</v>
      </c>
      <c r="E726" s="2" t="s">
        <v>103</v>
      </c>
      <c r="F726" s="2" t="s">
        <v>104</v>
      </c>
      <c r="G726" s="2" t="s">
        <v>10</v>
      </c>
      <c r="H726" s="2" t="s">
        <v>69</v>
      </c>
      <c r="I726" s="2" t="s">
        <v>69</v>
      </c>
      <c r="J726" s="2" t="s">
        <v>19</v>
      </c>
      <c r="K726" s="2" t="s">
        <v>21</v>
      </c>
      <c r="L726" s="2">
        <v>8</v>
      </c>
      <c r="M726" s="2">
        <v>31357</v>
      </c>
      <c r="N726" s="2">
        <v>5</v>
      </c>
      <c r="O726" s="2">
        <v>238313.2</v>
      </c>
      <c r="P726" s="6">
        <v>42090.05</v>
      </c>
    </row>
    <row r="727" spans="1:16" x14ac:dyDescent="0.3">
      <c r="A727" s="5" t="s">
        <v>1200</v>
      </c>
      <c r="B727" s="2" t="s">
        <v>1201</v>
      </c>
      <c r="C727" s="2" t="str">
        <f t="shared" si="11"/>
        <v>June</v>
      </c>
      <c r="D727" s="2" t="s">
        <v>5</v>
      </c>
      <c r="E727" s="2" t="s">
        <v>57</v>
      </c>
      <c r="F727" s="2" t="s">
        <v>58</v>
      </c>
      <c r="G727" s="2" t="s">
        <v>10</v>
      </c>
      <c r="H727" s="2" t="s">
        <v>100</v>
      </c>
      <c r="I727" s="2" t="s">
        <v>100</v>
      </c>
      <c r="J727" s="2" t="s">
        <v>18</v>
      </c>
      <c r="K727" s="2" t="s">
        <v>22</v>
      </c>
      <c r="L727" s="2">
        <v>2</v>
      </c>
      <c r="M727" s="2">
        <v>10280</v>
      </c>
      <c r="N727" s="2">
        <v>5</v>
      </c>
      <c r="O727" s="2">
        <v>19532</v>
      </c>
      <c r="P727" s="6">
        <v>4703.9399999999996</v>
      </c>
    </row>
    <row r="728" spans="1:16" x14ac:dyDescent="0.3">
      <c r="A728" s="5" t="s">
        <v>1202</v>
      </c>
      <c r="B728" s="2" t="s">
        <v>468</v>
      </c>
      <c r="C728" s="2" t="str">
        <f t="shared" si="11"/>
        <v>January</v>
      </c>
      <c r="D728" s="2" t="s">
        <v>5</v>
      </c>
      <c r="E728" s="2" t="s">
        <v>57</v>
      </c>
      <c r="F728" s="2" t="s">
        <v>58</v>
      </c>
      <c r="G728" s="2" t="s">
        <v>10</v>
      </c>
      <c r="H728" s="2" t="s">
        <v>54</v>
      </c>
      <c r="I728" s="2" t="s">
        <v>54</v>
      </c>
      <c r="J728" s="2" t="s">
        <v>13</v>
      </c>
      <c r="K728" s="2" t="s">
        <v>21</v>
      </c>
      <c r="L728" s="2">
        <v>7</v>
      </c>
      <c r="M728" s="2">
        <v>37367</v>
      </c>
      <c r="N728" s="2">
        <v>15</v>
      </c>
      <c r="O728" s="2">
        <v>222333.65</v>
      </c>
      <c r="P728" s="6">
        <v>31978.55</v>
      </c>
    </row>
    <row r="729" spans="1:16" x14ac:dyDescent="0.3">
      <c r="A729" s="5" t="s">
        <v>1203</v>
      </c>
      <c r="B729" s="2" t="s">
        <v>108</v>
      </c>
      <c r="C729" s="2" t="str">
        <f t="shared" si="11"/>
        <v>October</v>
      </c>
      <c r="D729" s="2" t="s">
        <v>4</v>
      </c>
      <c r="E729" s="2" t="s">
        <v>67</v>
      </c>
      <c r="F729" s="2" t="s">
        <v>68</v>
      </c>
      <c r="G729" s="2" t="s">
        <v>9</v>
      </c>
      <c r="H729" s="2" t="s">
        <v>59</v>
      </c>
      <c r="I729" s="2" t="s">
        <v>59</v>
      </c>
      <c r="J729" s="2" t="s">
        <v>15</v>
      </c>
      <c r="K729" s="2" t="s">
        <v>22</v>
      </c>
      <c r="L729" s="2">
        <v>8</v>
      </c>
      <c r="M729" s="2">
        <v>21909</v>
      </c>
      <c r="N729" s="2">
        <v>10</v>
      </c>
      <c r="O729" s="2">
        <v>157744.79999999999</v>
      </c>
      <c r="P729" s="6">
        <v>35716.879999999997</v>
      </c>
    </row>
    <row r="730" spans="1:16" x14ac:dyDescent="0.3">
      <c r="A730" s="5" t="s">
        <v>1204</v>
      </c>
      <c r="B730" s="2" t="s">
        <v>710</v>
      </c>
      <c r="C730" s="2" t="str">
        <f t="shared" si="11"/>
        <v>September</v>
      </c>
      <c r="D730" s="2" t="s">
        <v>5</v>
      </c>
      <c r="E730" s="2" t="s">
        <v>52</v>
      </c>
      <c r="F730" s="2" t="s">
        <v>53</v>
      </c>
      <c r="G730" s="2" t="s">
        <v>8</v>
      </c>
      <c r="H730" s="2" t="s">
        <v>133</v>
      </c>
      <c r="I730" s="2" t="s">
        <v>133</v>
      </c>
      <c r="J730" s="2" t="s">
        <v>13</v>
      </c>
      <c r="K730" s="2" t="s">
        <v>22</v>
      </c>
      <c r="L730" s="2">
        <v>6</v>
      </c>
      <c r="M730" s="2">
        <v>909</v>
      </c>
      <c r="N730" s="2">
        <v>5</v>
      </c>
      <c r="O730" s="2">
        <v>5181.3</v>
      </c>
      <c r="P730" s="6">
        <v>762.19</v>
      </c>
    </row>
    <row r="731" spans="1:16" x14ac:dyDescent="0.3">
      <c r="A731" s="5" t="s">
        <v>1205</v>
      </c>
      <c r="B731" s="2" t="s">
        <v>347</v>
      </c>
      <c r="C731" s="2" t="str">
        <f t="shared" si="11"/>
        <v>September</v>
      </c>
      <c r="D731" s="2" t="s">
        <v>2</v>
      </c>
      <c r="E731" s="2" t="s">
        <v>103</v>
      </c>
      <c r="F731" s="2" t="s">
        <v>104</v>
      </c>
      <c r="G731" s="2" t="s">
        <v>10</v>
      </c>
      <c r="H731" s="2" t="s">
        <v>69</v>
      </c>
      <c r="I731" s="2" t="s">
        <v>69</v>
      </c>
      <c r="J731" s="2" t="s">
        <v>14</v>
      </c>
      <c r="K731" s="2" t="s">
        <v>22</v>
      </c>
      <c r="L731" s="2">
        <v>3</v>
      </c>
      <c r="M731" s="2">
        <v>42374</v>
      </c>
      <c r="N731" s="2">
        <v>0</v>
      </c>
      <c r="O731" s="2">
        <v>127122</v>
      </c>
      <c r="P731" s="6">
        <v>27590.31</v>
      </c>
    </row>
    <row r="732" spans="1:16" x14ac:dyDescent="0.3">
      <c r="A732" s="5" t="s">
        <v>1206</v>
      </c>
      <c r="B732" s="2" t="s">
        <v>559</v>
      </c>
      <c r="C732" s="2" t="str">
        <f t="shared" si="11"/>
        <v>March</v>
      </c>
      <c r="D732" s="2" t="s">
        <v>5</v>
      </c>
      <c r="E732" s="2" t="s">
        <v>57</v>
      </c>
      <c r="F732" s="2" t="s">
        <v>58</v>
      </c>
      <c r="G732" s="2" t="s">
        <v>8</v>
      </c>
      <c r="H732" s="2" t="s">
        <v>64</v>
      </c>
      <c r="I732" s="2" t="s">
        <v>64</v>
      </c>
      <c r="J732" s="2" t="s">
        <v>16</v>
      </c>
      <c r="K732" s="2" t="s">
        <v>22</v>
      </c>
      <c r="L732" s="2">
        <v>2</v>
      </c>
      <c r="M732" s="2">
        <v>46128</v>
      </c>
      <c r="N732" s="2">
        <v>20</v>
      </c>
      <c r="O732" s="2">
        <v>73804.800000000003</v>
      </c>
      <c r="P732" s="6">
        <v>8404.99</v>
      </c>
    </row>
    <row r="733" spans="1:16" x14ac:dyDescent="0.3">
      <c r="A733" s="5" t="s">
        <v>1207</v>
      </c>
      <c r="B733" s="2" t="s">
        <v>478</v>
      </c>
      <c r="C733" s="2" t="str">
        <f t="shared" si="11"/>
        <v>April</v>
      </c>
      <c r="D733" s="2" t="s">
        <v>4</v>
      </c>
      <c r="E733" s="2" t="s">
        <v>62</v>
      </c>
      <c r="F733" s="2" t="s">
        <v>63</v>
      </c>
      <c r="G733" s="2" t="s">
        <v>9</v>
      </c>
      <c r="H733" s="2" t="s">
        <v>90</v>
      </c>
      <c r="I733" s="2" t="s">
        <v>90</v>
      </c>
      <c r="J733" s="2" t="s">
        <v>15</v>
      </c>
      <c r="K733" s="2" t="s">
        <v>22</v>
      </c>
      <c r="L733" s="2">
        <v>7</v>
      </c>
      <c r="M733" s="2">
        <v>44320</v>
      </c>
      <c r="N733" s="2">
        <v>15</v>
      </c>
      <c r="O733" s="2">
        <v>263704</v>
      </c>
      <c r="P733" s="6">
        <v>62733.78</v>
      </c>
    </row>
    <row r="734" spans="1:16" x14ac:dyDescent="0.3">
      <c r="A734" s="5" t="s">
        <v>1208</v>
      </c>
      <c r="B734" s="2" t="s">
        <v>1209</v>
      </c>
      <c r="C734" s="2" t="str">
        <f t="shared" si="11"/>
        <v>November</v>
      </c>
      <c r="D734" s="2" t="s">
        <v>2</v>
      </c>
      <c r="E734" s="2" t="s">
        <v>103</v>
      </c>
      <c r="F734" s="2" t="s">
        <v>104</v>
      </c>
      <c r="G734" s="2" t="s">
        <v>9</v>
      </c>
      <c r="H734" s="2" t="s">
        <v>126</v>
      </c>
      <c r="I734" s="2" t="s">
        <v>126</v>
      </c>
      <c r="J734" s="2" t="s">
        <v>13</v>
      </c>
      <c r="K734" s="2" t="s">
        <v>22</v>
      </c>
      <c r="L734" s="2">
        <v>1</v>
      </c>
      <c r="M734" s="2">
        <v>29327</v>
      </c>
      <c r="N734" s="2">
        <v>10</v>
      </c>
      <c r="O734" s="2">
        <v>26394.3</v>
      </c>
      <c r="P734" s="6">
        <v>2444.38</v>
      </c>
    </row>
    <row r="735" spans="1:16" x14ac:dyDescent="0.3">
      <c r="A735" s="5" t="s">
        <v>1210</v>
      </c>
      <c r="B735" s="2" t="s">
        <v>260</v>
      </c>
      <c r="C735" s="2" t="str">
        <f t="shared" si="11"/>
        <v>May</v>
      </c>
      <c r="D735" s="2" t="s">
        <v>2</v>
      </c>
      <c r="E735" s="2" t="s">
        <v>103</v>
      </c>
      <c r="F735" s="2" t="s">
        <v>104</v>
      </c>
      <c r="G735" s="2" t="s">
        <v>10</v>
      </c>
      <c r="H735" s="2" t="s">
        <v>83</v>
      </c>
      <c r="I735" s="2" t="s">
        <v>83</v>
      </c>
      <c r="J735" s="2" t="s">
        <v>19</v>
      </c>
      <c r="K735" s="2" t="s">
        <v>22</v>
      </c>
      <c r="L735" s="2">
        <v>1</v>
      </c>
      <c r="M735" s="2">
        <v>13109</v>
      </c>
      <c r="N735" s="2">
        <v>0</v>
      </c>
      <c r="O735" s="2">
        <v>13109</v>
      </c>
      <c r="P735" s="6">
        <v>3879.37</v>
      </c>
    </row>
    <row r="736" spans="1:16" x14ac:dyDescent="0.3">
      <c r="A736" s="5" t="s">
        <v>1211</v>
      </c>
      <c r="B736" s="2" t="s">
        <v>1212</v>
      </c>
      <c r="C736" s="2" t="str">
        <f t="shared" si="11"/>
        <v>April</v>
      </c>
      <c r="D736" s="2" t="s">
        <v>2</v>
      </c>
      <c r="E736" s="2" t="s">
        <v>81</v>
      </c>
      <c r="F736" s="2" t="s">
        <v>82</v>
      </c>
      <c r="G736" s="2" t="s">
        <v>9</v>
      </c>
      <c r="H736" s="2" t="s">
        <v>59</v>
      </c>
      <c r="I736" s="2" t="s">
        <v>59</v>
      </c>
      <c r="J736" s="2" t="s">
        <v>19</v>
      </c>
      <c r="K736" s="2" t="s">
        <v>21</v>
      </c>
      <c r="L736" s="2">
        <v>6</v>
      </c>
      <c r="M736" s="2">
        <v>3296</v>
      </c>
      <c r="N736" s="2">
        <v>10</v>
      </c>
      <c r="O736" s="2">
        <v>17798.400000000001</v>
      </c>
      <c r="P736" s="6">
        <v>2090.39</v>
      </c>
    </row>
    <row r="737" spans="1:16" x14ac:dyDescent="0.3">
      <c r="A737" s="5" t="s">
        <v>1213</v>
      </c>
      <c r="B737" s="2" t="s">
        <v>599</v>
      </c>
      <c r="C737" s="2" t="str">
        <f t="shared" si="11"/>
        <v>June</v>
      </c>
      <c r="D737" s="2" t="s">
        <v>3</v>
      </c>
      <c r="E737" s="2" t="s">
        <v>117</v>
      </c>
      <c r="F737" s="2" t="s">
        <v>117</v>
      </c>
      <c r="G737" s="2" t="s">
        <v>10</v>
      </c>
      <c r="H737" s="2" t="s">
        <v>100</v>
      </c>
      <c r="I737" s="2" t="s">
        <v>100</v>
      </c>
      <c r="J737" s="2" t="s">
        <v>15</v>
      </c>
      <c r="K737" s="2" t="s">
        <v>21</v>
      </c>
      <c r="L737" s="2">
        <v>7</v>
      </c>
      <c r="M737" s="2">
        <v>17474</v>
      </c>
      <c r="N737" s="2">
        <v>0</v>
      </c>
      <c r="O737" s="2">
        <v>122318</v>
      </c>
      <c r="P737" s="6">
        <v>23700.97</v>
      </c>
    </row>
    <row r="738" spans="1:16" x14ac:dyDescent="0.3">
      <c r="A738" s="5" t="s">
        <v>1214</v>
      </c>
      <c r="B738" s="2" t="s">
        <v>843</v>
      </c>
      <c r="C738" s="2" t="str">
        <f t="shared" si="11"/>
        <v>February</v>
      </c>
      <c r="D738" s="2" t="s">
        <v>3</v>
      </c>
      <c r="E738" s="2" t="s">
        <v>117</v>
      </c>
      <c r="F738" s="2" t="s">
        <v>117</v>
      </c>
      <c r="G738" s="2" t="s">
        <v>10</v>
      </c>
      <c r="H738" s="2" t="s">
        <v>100</v>
      </c>
      <c r="I738" s="2" t="s">
        <v>100</v>
      </c>
      <c r="J738" s="2" t="s">
        <v>19</v>
      </c>
      <c r="K738" s="2" t="s">
        <v>21</v>
      </c>
      <c r="L738" s="2">
        <v>10</v>
      </c>
      <c r="M738" s="2">
        <v>39346</v>
      </c>
      <c r="N738" s="2">
        <v>10</v>
      </c>
      <c r="O738" s="2">
        <v>354114</v>
      </c>
      <c r="P738" s="6">
        <v>104402.09</v>
      </c>
    </row>
    <row r="739" spans="1:16" x14ac:dyDescent="0.3">
      <c r="A739" s="5" t="s">
        <v>1215</v>
      </c>
      <c r="B739" s="2" t="s">
        <v>1216</v>
      </c>
      <c r="C739" s="2" t="str">
        <f t="shared" si="11"/>
        <v>June</v>
      </c>
      <c r="D739" s="2" t="s">
        <v>5</v>
      </c>
      <c r="E739" s="2" t="s">
        <v>52</v>
      </c>
      <c r="F739" s="2" t="s">
        <v>53</v>
      </c>
      <c r="G739" s="2" t="s">
        <v>8</v>
      </c>
      <c r="H739" s="2" t="s">
        <v>133</v>
      </c>
      <c r="I739" s="2" t="s">
        <v>133</v>
      </c>
      <c r="J739" s="2" t="s">
        <v>13</v>
      </c>
      <c r="K739" s="2" t="s">
        <v>22</v>
      </c>
      <c r="L739" s="2">
        <v>5</v>
      </c>
      <c r="M739" s="2">
        <v>24373</v>
      </c>
      <c r="N739" s="2">
        <v>5</v>
      </c>
      <c r="O739" s="2">
        <v>115771.75</v>
      </c>
      <c r="P739" s="6">
        <v>25420.42</v>
      </c>
    </row>
    <row r="740" spans="1:16" x14ac:dyDescent="0.3">
      <c r="A740" s="5" t="s">
        <v>1217</v>
      </c>
      <c r="B740" s="2" t="s">
        <v>1218</v>
      </c>
      <c r="C740" s="2" t="str">
        <f t="shared" si="11"/>
        <v>May</v>
      </c>
      <c r="D740" s="2" t="s">
        <v>3</v>
      </c>
      <c r="E740" s="2" t="s">
        <v>75</v>
      </c>
      <c r="F740" s="2" t="s">
        <v>75</v>
      </c>
      <c r="G740" s="2" t="s">
        <v>8</v>
      </c>
      <c r="H740" s="2" t="s">
        <v>93</v>
      </c>
      <c r="I740" s="2" t="s">
        <v>93</v>
      </c>
      <c r="J740" s="2" t="s">
        <v>17</v>
      </c>
      <c r="K740" s="2" t="s">
        <v>22</v>
      </c>
      <c r="L740" s="2">
        <v>8</v>
      </c>
      <c r="M740" s="2">
        <v>23192</v>
      </c>
      <c r="N740" s="2">
        <v>20</v>
      </c>
      <c r="O740" s="2">
        <v>148428.79999999999</v>
      </c>
      <c r="P740" s="6">
        <v>16926.669999999998</v>
      </c>
    </row>
    <row r="741" spans="1:16" x14ac:dyDescent="0.3">
      <c r="A741" s="5" t="s">
        <v>1219</v>
      </c>
      <c r="B741" s="2" t="s">
        <v>238</v>
      </c>
      <c r="C741" s="2" t="str">
        <f t="shared" si="11"/>
        <v>December</v>
      </c>
      <c r="D741" s="2" t="s">
        <v>3</v>
      </c>
      <c r="E741" s="2" t="s">
        <v>117</v>
      </c>
      <c r="F741" s="2" t="s">
        <v>117</v>
      </c>
      <c r="G741" s="2" t="s">
        <v>10</v>
      </c>
      <c r="H741" s="2" t="s">
        <v>69</v>
      </c>
      <c r="I741" s="2" t="s">
        <v>69</v>
      </c>
      <c r="J741" s="2" t="s">
        <v>14</v>
      </c>
      <c r="K741" s="2" t="s">
        <v>21</v>
      </c>
      <c r="L741" s="2">
        <v>7</v>
      </c>
      <c r="M741" s="2">
        <v>32178</v>
      </c>
      <c r="N741" s="2">
        <v>5</v>
      </c>
      <c r="O741" s="2">
        <v>213983.7</v>
      </c>
      <c r="P741" s="6">
        <v>53023.32</v>
      </c>
    </row>
    <row r="742" spans="1:16" x14ac:dyDescent="0.3">
      <c r="A742" s="5" t="s">
        <v>1220</v>
      </c>
      <c r="B742" s="2" t="s">
        <v>1221</v>
      </c>
      <c r="C742" s="2" t="str">
        <f t="shared" si="11"/>
        <v>November</v>
      </c>
      <c r="D742" s="2" t="s">
        <v>5</v>
      </c>
      <c r="E742" s="2" t="s">
        <v>57</v>
      </c>
      <c r="F742" s="2" t="s">
        <v>58</v>
      </c>
      <c r="G742" s="2" t="s">
        <v>10</v>
      </c>
      <c r="H742" s="2" t="s">
        <v>54</v>
      </c>
      <c r="I742" s="2" t="s">
        <v>54</v>
      </c>
      <c r="J742" s="2" t="s">
        <v>12</v>
      </c>
      <c r="K742" s="2" t="s">
        <v>22</v>
      </c>
      <c r="L742" s="2">
        <v>8</v>
      </c>
      <c r="M742" s="2">
        <v>42155</v>
      </c>
      <c r="N742" s="2">
        <v>0</v>
      </c>
      <c r="O742" s="2">
        <v>337240</v>
      </c>
      <c r="P742" s="6">
        <v>44129.74</v>
      </c>
    </row>
    <row r="743" spans="1:16" x14ac:dyDescent="0.3">
      <c r="A743" s="5" t="s">
        <v>1222</v>
      </c>
      <c r="B743" s="2" t="s">
        <v>1108</v>
      </c>
      <c r="C743" s="2" t="str">
        <f t="shared" si="11"/>
        <v>May</v>
      </c>
      <c r="D743" s="2" t="s">
        <v>3</v>
      </c>
      <c r="E743" s="2" t="s">
        <v>75</v>
      </c>
      <c r="F743" s="2" t="s">
        <v>75</v>
      </c>
      <c r="G743" s="2" t="s">
        <v>10</v>
      </c>
      <c r="H743" s="2" t="s">
        <v>69</v>
      </c>
      <c r="I743" s="2" t="s">
        <v>69</v>
      </c>
      <c r="J743" s="2" t="s">
        <v>19</v>
      </c>
      <c r="K743" s="2" t="s">
        <v>22</v>
      </c>
      <c r="L743" s="2">
        <v>6</v>
      </c>
      <c r="M743" s="2">
        <v>2598</v>
      </c>
      <c r="N743" s="2">
        <v>20</v>
      </c>
      <c r="O743" s="2">
        <v>12470.4</v>
      </c>
      <c r="P743" s="6">
        <v>2038.31</v>
      </c>
    </row>
    <row r="744" spans="1:16" x14ac:dyDescent="0.3">
      <c r="A744" s="5" t="s">
        <v>1223</v>
      </c>
      <c r="B744" s="2" t="s">
        <v>139</v>
      </c>
      <c r="C744" s="2" t="str">
        <f t="shared" si="11"/>
        <v>February</v>
      </c>
      <c r="D744" s="2" t="s">
        <v>2</v>
      </c>
      <c r="E744" s="2" t="s">
        <v>103</v>
      </c>
      <c r="F744" s="2" t="s">
        <v>104</v>
      </c>
      <c r="G744" s="2" t="s">
        <v>8</v>
      </c>
      <c r="H744" s="2" t="s">
        <v>76</v>
      </c>
      <c r="I744" s="2" t="s">
        <v>76</v>
      </c>
      <c r="J744" s="2" t="s">
        <v>19</v>
      </c>
      <c r="K744" s="2" t="s">
        <v>21</v>
      </c>
      <c r="L744" s="2">
        <v>2</v>
      </c>
      <c r="M744" s="2">
        <v>13777</v>
      </c>
      <c r="N744" s="2">
        <v>20</v>
      </c>
      <c r="O744" s="2">
        <v>22043.200000000001</v>
      </c>
      <c r="P744" s="6">
        <v>1748.02</v>
      </c>
    </row>
    <row r="745" spans="1:16" x14ac:dyDescent="0.3">
      <c r="A745" s="5" t="s">
        <v>1224</v>
      </c>
      <c r="B745" s="2" t="s">
        <v>613</v>
      </c>
      <c r="C745" s="2" t="str">
        <f t="shared" si="11"/>
        <v>September</v>
      </c>
      <c r="D745" s="2" t="s">
        <v>4</v>
      </c>
      <c r="E745" s="2" t="s">
        <v>67</v>
      </c>
      <c r="F745" s="2" t="s">
        <v>68</v>
      </c>
      <c r="G745" s="2" t="s">
        <v>10</v>
      </c>
      <c r="H745" s="2" t="s">
        <v>83</v>
      </c>
      <c r="I745" s="2" t="s">
        <v>83</v>
      </c>
      <c r="J745" s="2" t="s">
        <v>19</v>
      </c>
      <c r="K745" s="2" t="s">
        <v>21</v>
      </c>
      <c r="L745" s="2">
        <v>3</v>
      </c>
      <c r="M745" s="2">
        <v>12064</v>
      </c>
      <c r="N745" s="2">
        <v>10</v>
      </c>
      <c r="O745" s="2">
        <v>32572.799999999999</v>
      </c>
      <c r="P745" s="6">
        <v>5202.8100000000004</v>
      </c>
    </row>
    <row r="746" spans="1:16" x14ac:dyDescent="0.3">
      <c r="A746" s="5" t="s">
        <v>1225</v>
      </c>
      <c r="B746" s="2" t="s">
        <v>542</v>
      </c>
      <c r="C746" s="2" t="str">
        <f t="shared" si="11"/>
        <v>January</v>
      </c>
      <c r="D746" s="2" t="s">
        <v>2</v>
      </c>
      <c r="E746" s="2" t="s">
        <v>103</v>
      </c>
      <c r="F746" s="2" t="s">
        <v>104</v>
      </c>
      <c r="G746" s="2" t="s">
        <v>8</v>
      </c>
      <c r="H746" s="2" t="s">
        <v>93</v>
      </c>
      <c r="I746" s="2" t="s">
        <v>93</v>
      </c>
      <c r="J746" s="2" t="s">
        <v>15</v>
      </c>
      <c r="K746" s="2" t="s">
        <v>22</v>
      </c>
      <c r="L746" s="2">
        <v>10</v>
      </c>
      <c r="M746" s="2">
        <v>34667</v>
      </c>
      <c r="N746" s="2">
        <v>0</v>
      </c>
      <c r="O746" s="2">
        <v>346670</v>
      </c>
      <c r="P746" s="6">
        <v>95998.96</v>
      </c>
    </row>
    <row r="747" spans="1:16" x14ac:dyDescent="0.3">
      <c r="A747" s="5" t="s">
        <v>1226</v>
      </c>
      <c r="B747" s="2" t="s">
        <v>1227</v>
      </c>
      <c r="C747" s="2" t="str">
        <f t="shared" si="11"/>
        <v>February</v>
      </c>
      <c r="D747" s="2" t="s">
        <v>3</v>
      </c>
      <c r="E747" s="2" t="s">
        <v>75</v>
      </c>
      <c r="F747" s="2" t="s">
        <v>75</v>
      </c>
      <c r="G747" s="2" t="s">
        <v>8</v>
      </c>
      <c r="H747" s="2" t="s">
        <v>93</v>
      </c>
      <c r="I747" s="2" t="s">
        <v>93</v>
      </c>
      <c r="J747" s="2" t="s">
        <v>12</v>
      </c>
      <c r="K747" s="2" t="s">
        <v>21</v>
      </c>
      <c r="L747" s="2">
        <v>3</v>
      </c>
      <c r="M747" s="2">
        <v>8508</v>
      </c>
      <c r="N747" s="2">
        <v>5</v>
      </c>
      <c r="O747" s="2">
        <v>24247.8</v>
      </c>
      <c r="P747" s="6">
        <v>3522.59</v>
      </c>
    </row>
    <row r="748" spans="1:16" x14ac:dyDescent="0.3">
      <c r="A748" s="5" t="s">
        <v>1228</v>
      </c>
      <c r="B748" s="2" t="s">
        <v>1229</v>
      </c>
      <c r="C748" s="2" t="str">
        <f t="shared" si="11"/>
        <v>May</v>
      </c>
      <c r="D748" s="2" t="s">
        <v>5</v>
      </c>
      <c r="E748" s="2" t="s">
        <v>57</v>
      </c>
      <c r="F748" s="2" t="s">
        <v>58</v>
      </c>
      <c r="G748" s="2" t="s">
        <v>10</v>
      </c>
      <c r="H748" s="2" t="s">
        <v>54</v>
      </c>
      <c r="I748" s="2" t="s">
        <v>54</v>
      </c>
      <c r="J748" s="2" t="s">
        <v>12</v>
      </c>
      <c r="K748" s="2" t="s">
        <v>21</v>
      </c>
      <c r="L748" s="2">
        <v>10</v>
      </c>
      <c r="M748" s="2">
        <v>27454</v>
      </c>
      <c r="N748" s="2">
        <v>5</v>
      </c>
      <c r="O748" s="2">
        <v>260813</v>
      </c>
      <c r="P748" s="6">
        <v>73328.62</v>
      </c>
    </row>
    <row r="749" spans="1:16" x14ac:dyDescent="0.3">
      <c r="A749" s="5" t="s">
        <v>1230</v>
      </c>
      <c r="B749" s="2" t="s">
        <v>1038</v>
      </c>
      <c r="C749" s="2" t="str">
        <f t="shared" si="11"/>
        <v>January</v>
      </c>
      <c r="D749" s="2" t="s">
        <v>4</v>
      </c>
      <c r="E749" s="2" t="s">
        <v>67</v>
      </c>
      <c r="F749" s="2" t="s">
        <v>68</v>
      </c>
      <c r="G749" s="2" t="s">
        <v>8</v>
      </c>
      <c r="H749" s="2" t="s">
        <v>64</v>
      </c>
      <c r="I749" s="2" t="s">
        <v>64</v>
      </c>
      <c r="J749" s="2" t="s">
        <v>12</v>
      </c>
      <c r="K749" s="2" t="s">
        <v>21</v>
      </c>
      <c r="L749" s="2">
        <v>8</v>
      </c>
      <c r="M749" s="2">
        <v>36606</v>
      </c>
      <c r="N749" s="2">
        <v>0</v>
      </c>
      <c r="O749" s="2">
        <v>292848</v>
      </c>
      <c r="P749" s="6">
        <v>39072.870000000003</v>
      </c>
    </row>
    <row r="750" spans="1:16" x14ac:dyDescent="0.3">
      <c r="A750" s="5" t="s">
        <v>1231</v>
      </c>
      <c r="B750" s="2" t="s">
        <v>639</v>
      </c>
      <c r="C750" s="2" t="str">
        <f t="shared" si="11"/>
        <v>May</v>
      </c>
      <c r="D750" s="2" t="s">
        <v>2</v>
      </c>
      <c r="E750" s="2" t="s">
        <v>81</v>
      </c>
      <c r="F750" s="2" t="s">
        <v>82</v>
      </c>
      <c r="G750" s="2" t="s">
        <v>9</v>
      </c>
      <c r="H750" s="2" t="s">
        <v>72</v>
      </c>
      <c r="I750" s="2" t="s">
        <v>72</v>
      </c>
      <c r="J750" s="2" t="s">
        <v>14</v>
      </c>
      <c r="K750" s="2" t="s">
        <v>22</v>
      </c>
      <c r="L750" s="2">
        <v>2</v>
      </c>
      <c r="M750" s="2">
        <v>493</v>
      </c>
      <c r="N750" s="2">
        <v>20</v>
      </c>
      <c r="O750" s="2">
        <v>788.8</v>
      </c>
      <c r="P750" s="6">
        <v>95.37</v>
      </c>
    </row>
    <row r="751" spans="1:16" x14ac:dyDescent="0.3">
      <c r="A751" s="5" t="s">
        <v>1232</v>
      </c>
      <c r="B751" s="2" t="s">
        <v>789</v>
      </c>
      <c r="C751" s="2" t="str">
        <f t="shared" si="11"/>
        <v>May</v>
      </c>
      <c r="D751" s="2" t="s">
        <v>2</v>
      </c>
      <c r="E751" s="2" t="s">
        <v>81</v>
      </c>
      <c r="F751" s="2" t="s">
        <v>82</v>
      </c>
      <c r="G751" s="2" t="s">
        <v>9</v>
      </c>
      <c r="H751" s="2" t="s">
        <v>72</v>
      </c>
      <c r="I751" s="2" t="s">
        <v>72</v>
      </c>
      <c r="J751" s="2" t="s">
        <v>18</v>
      </c>
      <c r="K751" s="2" t="s">
        <v>22</v>
      </c>
      <c r="L751" s="2">
        <v>10</v>
      </c>
      <c r="M751" s="2">
        <v>43253</v>
      </c>
      <c r="N751" s="2">
        <v>10</v>
      </c>
      <c r="O751" s="2">
        <v>389277</v>
      </c>
      <c r="P751" s="6">
        <v>84145.41</v>
      </c>
    </row>
    <row r="752" spans="1:16" x14ac:dyDescent="0.3">
      <c r="A752" s="5" t="s">
        <v>1233</v>
      </c>
      <c r="B752" s="2" t="s">
        <v>554</v>
      </c>
      <c r="C752" s="2" t="str">
        <f t="shared" si="11"/>
        <v>February</v>
      </c>
      <c r="D752" s="2" t="s">
        <v>4</v>
      </c>
      <c r="E752" s="2" t="s">
        <v>62</v>
      </c>
      <c r="F752" s="2" t="s">
        <v>63</v>
      </c>
      <c r="G752" s="2" t="s">
        <v>9</v>
      </c>
      <c r="H752" s="2" t="s">
        <v>59</v>
      </c>
      <c r="I752" s="2" t="s">
        <v>59</v>
      </c>
      <c r="J752" s="2" t="s">
        <v>17</v>
      </c>
      <c r="K752" s="2" t="s">
        <v>21</v>
      </c>
      <c r="L752" s="2">
        <v>5</v>
      </c>
      <c r="M752" s="2">
        <v>21395</v>
      </c>
      <c r="N752" s="2">
        <v>10</v>
      </c>
      <c r="O752" s="2">
        <v>96277.5</v>
      </c>
      <c r="P752" s="6">
        <v>17034.419999999998</v>
      </c>
    </row>
    <row r="753" spans="1:16" x14ac:dyDescent="0.3">
      <c r="A753" s="5" t="s">
        <v>1234</v>
      </c>
      <c r="B753" s="2" t="s">
        <v>1235</v>
      </c>
      <c r="C753" s="2" t="str">
        <f t="shared" si="11"/>
        <v>March</v>
      </c>
      <c r="D753" s="2" t="s">
        <v>2</v>
      </c>
      <c r="E753" s="2" t="s">
        <v>81</v>
      </c>
      <c r="F753" s="2" t="s">
        <v>82</v>
      </c>
      <c r="G753" s="2" t="s">
        <v>10</v>
      </c>
      <c r="H753" s="2" t="s">
        <v>69</v>
      </c>
      <c r="I753" s="2" t="s">
        <v>69</v>
      </c>
      <c r="J753" s="2" t="s">
        <v>12</v>
      </c>
      <c r="K753" s="2" t="s">
        <v>21</v>
      </c>
      <c r="L753" s="2">
        <v>7</v>
      </c>
      <c r="M753" s="2">
        <v>35526</v>
      </c>
      <c r="N753" s="2">
        <v>10</v>
      </c>
      <c r="O753" s="2">
        <v>223813.8</v>
      </c>
      <c r="P753" s="6">
        <v>13280.53</v>
      </c>
    </row>
    <row r="754" spans="1:16" x14ac:dyDescent="0.3">
      <c r="A754" s="5" t="s">
        <v>1236</v>
      </c>
      <c r="B754" s="2" t="s">
        <v>483</v>
      </c>
      <c r="C754" s="2" t="str">
        <f t="shared" si="11"/>
        <v>September</v>
      </c>
      <c r="D754" s="2" t="s">
        <v>2</v>
      </c>
      <c r="E754" s="2" t="s">
        <v>81</v>
      </c>
      <c r="F754" s="2" t="s">
        <v>82</v>
      </c>
      <c r="G754" s="2" t="s">
        <v>10</v>
      </c>
      <c r="H754" s="2" t="s">
        <v>54</v>
      </c>
      <c r="I754" s="2" t="s">
        <v>54</v>
      </c>
      <c r="J754" s="2" t="s">
        <v>17</v>
      </c>
      <c r="K754" s="2" t="s">
        <v>21</v>
      </c>
      <c r="L754" s="2">
        <v>10</v>
      </c>
      <c r="M754" s="2">
        <v>10428</v>
      </c>
      <c r="N754" s="2">
        <v>5</v>
      </c>
      <c r="O754" s="2">
        <v>99066</v>
      </c>
      <c r="P754" s="6">
        <v>11873.36</v>
      </c>
    </row>
    <row r="755" spans="1:16" x14ac:dyDescent="0.3">
      <c r="A755" s="5" t="s">
        <v>1237</v>
      </c>
      <c r="B755" s="2" t="s">
        <v>1009</v>
      </c>
      <c r="C755" s="2" t="str">
        <f t="shared" si="11"/>
        <v>April</v>
      </c>
      <c r="D755" s="2" t="s">
        <v>4</v>
      </c>
      <c r="E755" s="2" t="s">
        <v>62</v>
      </c>
      <c r="F755" s="2" t="s">
        <v>63</v>
      </c>
      <c r="G755" s="2" t="s">
        <v>10</v>
      </c>
      <c r="H755" s="2" t="s">
        <v>69</v>
      </c>
      <c r="I755" s="2" t="s">
        <v>69</v>
      </c>
      <c r="J755" s="2" t="s">
        <v>18</v>
      </c>
      <c r="K755" s="2" t="s">
        <v>21</v>
      </c>
      <c r="L755" s="2">
        <v>3</v>
      </c>
      <c r="M755" s="2">
        <v>34782</v>
      </c>
      <c r="N755" s="2">
        <v>10</v>
      </c>
      <c r="O755" s="2">
        <v>93911.4</v>
      </c>
      <c r="P755" s="6">
        <v>20551.009999999998</v>
      </c>
    </row>
    <row r="756" spans="1:16" x14ac:dyDescent="0.3">
      <c r="A756" s="5" t="s">
        <v>1238</v>
      </c>
      <c r="B756" s="2" t="s">
        <v>1011</v>
      </c>
      <c r="C756" s="2" t="str">
        <f t="shared" si="11"/>
        <v>October</v>
      </c>
      <c r="D756" s="2" t="s">
        <v>2</v>
      </c>
      <c r="E756" s="2" t="s">
        <v>81</v>
      </c>
      <c r="F756" s="2" t="s">
        <v>82</v>
      </c>
      <c r="G756" s="2" t="s">
        <v>8</v>
      </c>
      <c r="H756" s="2" t="s">
        <v>76</v>
      </c>
      <c r="I756" s="2" t="s">
        <v>76</v>
      </c>
      <c r="J756" s="2" t="s">
        <v>14</v>
      </c>
      <c r="K756" s="2" t="s">
        <v>22</v>
      </c>
      <c r="L756" s="2">
        <v>5</v>
      </c>
      <c r="M756" s="2">
        <v>2069</v>
      </c>
      <c r="N756" s="2">
        <v>5</v>
      </c>
      <c r="O756" s="2">
        <v>9827.75</v>
      </c>
      <c r="P756" s="6">
        <v>1225.93</v>
      </c>
    </row>
    <row r="757" spans="1:16" x14ac:dyDescent="0.3">
      <c r="A757" s="5" t="s">
        <v>1239</v>
      </c>
      <c r="B757" s="2" t="s">
        <v>1240</v>
      </c>
      <c r="C757" s="2" t="str">
        <f t="shared" si="11"/>
        <v>October</v>
      </c>
      <c r="D757" s="2" t="s">
        <v>2</v>
      </c>
      <c r="E757" s="2" t="s">
        <v>103</v>
      </c>
      <c r="F757" s="2" t="s">
        <v>104</v>
      </c>
      <c r="G757" s="2" t="s">
        <v>9</v>
      </c>
      <c r="H757" s="2" t="s">
        <v>72</v>
      </c>
      <c r="I757" s="2" t="s">
        <v>72</v>
      </c>
      <c r="J757" s="2" t="s">
        <v>17</v>
      </c>
      <c r="K757" s="2" t="s">
        <v>21</v>
      </c>
      <c r="L757" s="2">
        <v>10</v>
      </c>
      <c r="M757" s="2">
        <v>28388</v>
      </c>
      <c r="N757" s="2">
        <v>5</v>
      </c>
      <c r="O757" s="2">
        <v>269686</v>
      </c>
      <c r="P757" s="6">
        <v>57303.040000000001</v>
      </c>
    </row>
    <row r="758" spans="1:16" x14ac:dyDescent="0.3">
      <c r="A758" s="5" t="s">
        <v>1241</v>
      </c>
      <c r="B758" s="2" t="s">
        <v>1242</v>
      </c>
      <c r="C758" s="2" t="str">
        <f t="shared" si="11"/>
        <v>August</v>
      </c>
      <c r="D758" s="2" t="s">
        <v>2</v>
      </c>
      <c r="E758" s="2" t="s">
        <v>103</v>
      </c>
      <c r="F758" s="2" t="s">
        <v>104</v>
      </c>
      <c r="G758" s="2" t="s">
        <v>10</v>
      </c>
      <c r="H758" s="2" t="s">
        <v>69</v>
      </c>
      <c r="I758" s="2" t="s">
        <v>69</v>
      </c>
      <c r="J758" s="2" t="s">
        <v>18</v>
      </c>
      <c r="K758" s="2" t="s">
        <v>21</v>
      </c>
      <c r="L758" s="2">
        <v>9</v>
      </c>
      <c r="M758" s="2">
        <v>1262</v>
      </c>
      <c r="N758" s="2">
        <v>10</v>
      </c>
      <c r="O758" s="2">
        <v>10222.200000000001</v>
      </c>
      <c r="P758" s="6">
        <v>1109.3599999999999</v>
      </c>
    </row>
    <row r="759" spans="1:16" x14ac:dyDescent="0.3">
      <c r="A759" s="5" t="s">
        <v>1243</v>
      </c>
      <c r="B759" s="2" t="s">
        <v>703</v>
      </c>
      <c r="C759" s="2" t="str">
        <f t="shared" si="11"/>
        <v>June</v>
      </c>
      <c r="D759" s="2" t="s">
        <v>3</v>
      </c>
      <c r="E759" s="2" t="s">
        <v>75</v>
      </c>
      <c r="F759" s="2" t="s">
        <v>75</v>
      </c>
      <c r="G759" s="2" t="s">
        <v>8</v>
      </c>
      <c r="H759" s="2" t="s">
        <v>76</v>
      </c>
      <c r="I759" s="2" t="s">
        <v>76</v>
      </c>
      <c r="J759" s="2" t="s">
        <v>15</v>
      </c>
      <c r="K759" s="2" t="s">
        <v>22</v>
      </c>
      <c r="L759" s="2">
        <v>7</v>
      </c>
      <c r="M759" s="2">
        <v>24577</v>
      </c>
      <c r="N759" s="2">
        <v>10</v>
      </c>
      <c r="O759" s="2">
        <v>154835.1</v>
      </c>
      <c r="P759" s="6">
        <v>19325.43</v>
      </c>
    </row>
    <row r="760" spans="1:16" x14ac:dyDescent="0.3">
      <c r="A760" s="5" t="s">
        <v>1244</v>
      </c>
      <c r="B760" s="2" t="s">
        <v>1245</v>
      </c>
      <c r="C760" s="2" t="str">
        <f t="shared" si="11"/>
        <v>September</v>
      </c>
      <c r="D760" s="2" t="s">
        <v>5</v>
      </c>
      <c r="E760" s="2" t="s">
        <v>57</v>
      </c>
      <c r="F760" s="2" t="s">
        <v>58</v>
      </c>
      <c r="G760" s="2" t="s">
        <v>8</v>
      </c>
      <c r="H760" s="2" t="s">
        <v>93</v>
      </c>
      <c r="I760" s="2" t="s">
        <v>93</v>
      </c>
      <c r="J760" s="2" t="s">
        <v>18</v>
      </c>
      <c r="K760" s="2" t="s">
        <v>21</v>
      </c>
      <c r="L760" s="2">
        <v>6</v>
      </c>
      <c r="M760" s="2">
        <v>29971</v>
      </c>
      <c r="N760" s="2">
        <v>5</v>
      </c>
      <c r="O760" s="2">
        <v>170834.7</v>
      </c>
      <c r="P760" s="6">
        <v>31581.42</v>
      </c>
    </row>
    <row r="761" spans="1:16" x14ac:dyDescent="0.3">
      <c r="A761" s="5" t="s">
        <v>1246</v>
      </c>
      <c r="B761" s="2" t="s">
        <v>1247</v>
      </c>
      <c r="C761" s="2" t="str">
        <f t="shared" si="11"/>
        <v>March</v>
      </c>
      <c r="D761" s="2" t="s">
        <v>5</v>
      </c>
      <c r="E761" s="2" t="s">
        <v>52</v>
      </c>
      <c r="F761" s="2" t="s">
        <v>53</v>
      </c>
      <c r="G761" s="2" t="s">
        <v>8</v>
      </c>
      <c r="H761" s="2" t="s">
        <v>64</v>
      </c>
      <c r="I761" s="2" t="s">
        <v>64</v>
      </c>
      <c r="J761" s="2" t="s">
        <v>13</v>
      </c>
      <c r="K761" s="2" t="s">
        <v>22</v>
      </c>
      <c r="L761" s="2">
        <v>9</v>
      </c>
      <c r="M761" s="2">
        <v>23302</v>
      </c>
      <c r="N761" s="2">
        <v>15</v>
      </c>
      <c r="O761" s="2">
        <v>178260.3</v>
      </c>
      <c r="P761" s="6">
        <v>48128.51</v>
      </c>
    </row>
    <row r="762" spans="1:16" x14ac:dyDescent="0.3">
      <c r="A762" s="5" t="s">
        <v>1248</v>
      </c>
      <c r="B762" s="2" t="s">
        <v>487</v>
      </c>
      <c r="C762" s="2" t="str">
        <f t="shared" si="11"/>
        <v>May</v>
      </c>
      <c r="D762" s="2" t="s">
        <v>5</v>
      </c>
      <c r="E762" s="2" t="s">
        <v>57</v>
      </c>
      <c r="F762" s="2" t="s">
        <v>58</v>
      </c>
      <c r="G762" s="2" t="s">
        <v>10</v>
      </c>
      <c r="H762" s="2" t="s">
        <v>54</v>
      </c>
      <c r="I762" s="2" t="s">
        <v>54</v>
      </c>
      <c r="J762" s="2" t="s">
        <v>15</v>
      </c>
      <c r="K762" s="2" t="s">
        <v>21</v>
      </c>
      <c r="L762" s="2">
        <v>5</v>
      </c>
      <c r="M762" s="2">
        <v>47084</v>
      </c>
      <c r="N762" s="2">
        <v>0</v>
      </c>
      <c r="O762" s="2">
        <v>235420</v>
      </c>
      <c r="P762" s="6">
        <v>43761.9</v>
      </c>
    </row>
    <row r="763" spans="1:16" x14ac:dyDescent="0.3">
      <c r="A763" s="5" t="s">
        <v>1249</v>
      </c>
      <c r="B763" s="2" t="s">
        <v>1250</v>
      </c>
      <c r="C763" s="2" t="str">
        <f t="shared" si="11"/>
        <v>April</v>
      </c>
      <c r="D763" s="2" t="s">
        <v>2</v>
      </c>
      <c r="E763" s="2" t="s">
        <v>81</v>
      </c>
      <c r="F763" s="2" t="s">
        <v>82</v>
      </c>
      <c r="G763" s="2" t="s">
        <v>8</v>
      </c>
      <c r="H763" s="2" t="s">
        <v>93</v>
      </c>
      <c r="I763" s="2" t="s">
        <v>93</v>
      </c>
      <c r="J763" s="2" t="s">
        <v>16</v>
      </c>
      <c r="K763" s="2" t="s">
        <v>22</v>
      </c>
      <c r="L763" s="2">
        <v>1</v>
      </c>
      <c r="M763" s="2">
        <v>32872</v>
      </c>
      <c r="N763" s="2">
        <v>20</v>
      </c>
      <c r="O763" s="2">
        <v>26297.599999999999</v>
      </c>
      <c r="P763" s="6">
        <v>4527.13</v>
      </c>
    </row>
    <row r="764" spans="1:16" x14ac:dyDescent="0.3">
      <c r="A764" s="5" t="s">
        <v>1251</v>
      </c>
      <c r="B764" s="2" t="s">
        <v>1108</v>
      </c>
      <c r="C764" s="2" t="str">
        <f t="shared" si="11"/>
        <v>May</v>
      </c>
      <c r="D764" s="2" t="s">
        <v>4</v>
      </c>
      <c r="E764" s="2" t="s">
        <v>62</v>
      </c>
      <c r="F764" s="2" t="s">
        <v>63</v>
      </c>
      <c r="G764" s="2" t="s">
        <v>9</v>
      </c>
      <c r="H764" s="2" t="s">
        <v>72</v>
      </c>
      <c r="I764" s="2" t="s">
        <v>72</v>
      </c>
      <c r="J764" s="2" t="s">
        <v>14</v>
      </c>
      <c r="K764" s="2" t="s">
        <v>22</v>
      </c>
      <c r="L764" s="2">
        <v>3</v>
      </c>
      <c r="M764" s="2">
        <v>6990</v>
      </c>
      <c r="N764" s="2">
        <v>5</v>
      </c>
      <c r="O764" s="2">
        <v>19921.5</v>
      </c>
      <c r="P764" s="6">
        <v>2607.23</v>
      </c>
    </row>
    <row r="765" spans="1:16" x14ac:dyDescent="0.3">
      <c r="A765" s="5" t="s">
        <v>1252</v>
      </c>
      <c r="B765" s="2" t="s">
        <v>408</v>
      </c>
      <c r="C765" s="2" t="str">
        <f t="shared" si="11"/>
        <v>December</v>
      </c>
      <c r="D765" s="2" t="s">
        <v>3</v>
      </c>
      <c r="E765" s="2" t="s">
        <v>117</v>
      </c>
      <c r="F765" s="2" t="s">
        <v>117</v>
      </c>
      <c r="G765" s="2" t="s">
        <v>9</v>
      </c>
      <c r="H765" s="2" t="s">
        <v>72</v>
      </c>
      <c r="I765" s="2" t="s">
        <v>72</v>
      </c>
      <c r="J765" s="2" t="s">
        <v>13</v>
      </c>
      <c r="K765" s="2" t="s">
        <v>21</v>
      </c>
      <c r="L765" s="2">
        <v>3</v>
      </c>
      <c r="M765" s="2">
        <v>49869</v>
      </c>
      <c r="N765" s="2">
        <v>10</v>
      </c>
      <c r="O765" s="2">
        <v>134646.29999999999</v>
      </c>
      <c r="P765" s="6">
        <v>20536.62</v>
      </c>
    </row>
    <row r="766" spans="1:16" x14ac:dyDescent="0.3">
      <c r="A766" s="5" t="s">
        <v>1253</v>
      </c>
      <c r="B766" s="2" t="s">
        <v>373</v>
      </c>
      <c r="C766" s="2" t="str">
        <f t="shared" si="11"/>
        <v>May</v>
      </c>
      <c r="D766" s="2" t="s">
        <v>3</v>
      </c>
      <c r="E766" s="2" t="s">
        <v>75</v>
      </c>
      <c r="F766" s="2" t="s">
        <v>75</v>
      </c>
      <c r="G766" s="2" t="s">
        <v>8</v>
      </c>
      <c r="H766" s="2" t="s">
        <v>64</v>
      </c>
      <c r="I766" s="2" t="s">
        <v>64</v>
      </c>
      <c r="J766" s="2" t="s">
        <v>12</v>
      </c>
      <c r="K766" s="2" t="s">
        <v>21</v>
      </c>
      <c r="L766" s="2">
        <v>2</v>
      </c>
      <c r="M766" s="2">
        <v>8755</v>
      </c>
      <c r="N766" s="2">
        <v>0</v>
      </c>
      <c r="O766" s="2">
        <v>17510</v>
      </c>
      <c r="P766" s="6">
        <v>2906.51</v>
      </c>
    </row>
    <row r="767" spans="1:16" x14ac:dyDescent="0.3">
      <c r="A767" s="5" t="s">
        <v>1254</v>
      </c>
      <c r="B767" s="2" t="s">
        <v>661</v>
      </c>
      <c r="C767" s="2" t="str">
        <f t="shared" si="11"/>
        <v>April</v>
      </c>
      <c r="D767" s="2" t="s">
        <v>5</v>
      </c>
      <c r="E767" s="2" t="s">
        <v>52</v>
      </c>
      <c r="F767" s="2" t="s">
        <v>53</v>
      </c>
      <c r="G767" s="2" t="s">
        <v>9</v>
      </c>
      <c r="H767" s="2" t="s">
        <v>126</v>
      </c>
      <c r="I767" s="2" t="s">
        <v>126</v>
      </c>
      <c r="J767" s="2" t="s">
        <v>17</v>
      </c>
      <c r="K767" s="2" t="s">
        <v>22</v>
      </c>
      <c r="L767" s="2">
        <v>3</v>
      </c>
      <c r="M767" s="2">
        <v>48334</v>
      </c>
      <c r="N767" s="2">
        <v>15</v>
      </c>
      <c r="O767" s="2">
        <v>123251.7</v>
      </c>
      <c r="P767" s="6">
        <v>9045.59</v>
      </c>
    </row>
    <row r="768" spans="1:16" x14ac:dyDescent="0.3">
      <c r="A768" s="5" t="s">
        <v>1255</v>
      </c>
      <c r="B768" s="2" t="s">
        <v>1256</v>
      </c>
      <c r="C768" s="2" t="str">
        <f t="shared" si="11"/>
        <v>November</v>
      </c>
      <c r="D768" s="2" t="s">
        <v>5</v>
      </c>
      <c r="E768" s="2" t="s">
        <v>52</v>
      </c>
      <c r="F768" s="2" t="s">
        <v>53</v>
      </c>
      <c r="G768" s="2" t="s">
        <v>8</v>
      </c>
      <c r="H768" s="2" t="s">
        <v>93</v>
      </c>
      <c r="I768" s="2" t="s">
        <v>93</v>
      </c>
      <c r="J768" s="2" t="s">
        <v>16</v>
      </c>
      <c r="K768" s="2" t="s">
        <v>22</v>
      </c>
      <c r="L768" s="2">
        <v>2</v>
      </c>
      <c r="M768" s="2">
        <v>1838</v>
      </c>
      <c r="N768" s="2">
        <v>10</v>
      </c>
      <c r="O768" s="2">
        <v>3308.4</v>
      </c>
      <c r="P768" s="6">
        <v>741.35</v>
      </c>
    </row>
    <row r="769" spans="1:16" x14ac:dyDescent="0.3">
      <c r="A769" s="5" t="s">
        <v>1257</v>
      </c>
      <c r="B769" s="2" t="s">
        <v>843</v>
      </c>
      <c r="C769" s="2" t="str">
        <f t="shared" si="11"/>
        <v>February</v>
      </c>
      <c r="D769" s="2" t="s">
        <v>3</v>
      </c>
      <c r="E769" s="2" t="s">
        <v>75</v>
      </c>
      <c r="F769" s="2" t="s">
        <v>75</v>
      </c>
      <c r="G769" s="2" t="s">
        <v>10</v>
      </c>
      <c r="H769" s="2" t="s">
        <v>100</v>
      </c>
      <c r="I769" s="2" t="s">
        <v>100</v>
      </c>
      <c r="J769" s="2" t="s">
        <v>16</v>
      </c>
      <c r="K769" s="2" t="s">
        <v>22</v>
      </c>
      <c r="L769" s="2">
        <v>4</v>
      </c>
      <c r="M769" s="2">
        <v>11213</v>
      </c>
      <c r="N769" s="2">
        <v>10</v>
      </c>
      <c r="O769" s="2">
        <v>40366.800000000003</v>
      </c>
      <c r="P769" s="6">
        <v>4173.9399999999996</v>
      </c>
    </row>
    <row r="770" spans="1:16" x14ac:dyDescent="0.3">
      <c r="A770" s="5" t="s">
        <v>1258</v>
      </c>
      <c r="B770" s="2" t="s">
        <v>163</v>
      </c>
      <c r="C770" s="2" t="str">
        <f t="shared" si="11"/>
        <v>March</v>
      </c>
      <c r="D770" s="2" t="s">
        <v>2</v>
      </c>
      <c r="E770" s="2" t="s">
        <v>81</v>
      </c>
      <c r="F770" s="2" t="s">
        <v>82</v>
      </c>
      <c r="G770" s="2" t="s">
        <v>10</v>
      </c>
      <c r="H770" s="2" t="s">
        <v>54</v>
      </c>
      <c r="I770" s="2" t="s">
        <v>54</v>
      </c>
      <c r="J770" s="2" t="s">
        <v>13</v>
      </c>
      <c r="K770" s="2" t="s">
        <v>21</v>
      </c>
      <c r="L770" s="2">
        <v>6</v>
      </c>
      <c r="M770" s="2">
        <v>14058</v>
      </c>
      <c r="N770" s="2">
        <v>0</v>
      </c>
      <c r="O770" s="2">
        <v>84348</v>
      </c>
      <c r="P770" s="6">
        <v>7670.02</v>
      </c>
    </row>
    <row r="771" spans="1:16" x14ac:dyDescent="0.3">
      <c r="A771" s="5" t="s">
        <v>1259</v>
      </c>
      <c r="B771" s="2" t="s">
        <v>983</v>
      </c>
      <c r="C771" s="2" t="str">
        <f t="shared" ref="C771:C834" si="12">TEXT(B771,"mmmm")</f>
        <v>November</v>
      </c>
      <c r="D771" s="2" t="s">
        <v>2</v>
      </c>
      <c r="E771" s="2" t="s">
        <v>103</v>
      </c>
      <c r="F771" s="2" t="s">
        <v>104</v>
      </c>
      <c r="G771" s="2" t="s">
        <v>10</v>
      </c>
      <c r="H771" s="2" t="s">
        <v>69</v>
      </c>
      <c r="I771" s="2" t="s">
        <v>69</v>
      </c>
      <c r="J771" s="2" t="s">
        <v>19</v>
      </c>
      <c r="K771" s="2" t="s">
        <v>22</v>
      </c>
      <c r="L771" s="2">
        <v>1</v>
      </c>
      <c r="M771" s="2">
        <v>11703</v>
      </c>
      <c r="N771" s="2">
        <v>10</v>
      </c>
      <c r="O771" s="2">
        <v>10532.7</v>
      </c>
      <c r="P771" s="6">
        <v>1279.3599999999999</v>
      </c>
    </row>
    <row r="772" spans="1:16" x14ac:dyDescent="0.3">
      <c r="A772" s="5" t="s">
        <v>1260</v>
      </c>
      <c r="B772" s="2" t="s">
        <v>192</v>
      </c>
      <c r="C772" s="2" t="str">
        <f t="shared" si="12"/>
        <v>April</v>
      </c>
      <c r="D772" s="2" t="s">
        <v>5</v>
      </c>
      <c r="E772" s="2" t="s">
        <v>57</v>
      </c>
      <c r="F772" s="2" t="s">
        <v>58</v>
      </c>
      <c r="G772" s="2" t="s">
        <v>10</v>
      </c>
      <c r="H772" s="2" t="s">
        <v>100</v>
      </c>
      <c r="I772" s="2" t="s">
        <v>100</v>
      </c>
      <c r="J772" s="2" t="s">
        <v>16</v>
      </c>
      <c r="K772" s="2" t="s">
        <v>22</v>
      </c>
      <c r="L772" s="2">
        <v>4</v>
      </c>
      <c r="M772" s="2">
        <v>7364</v>
      </c>
      <c r="N772" s="2">
        <v>0</v>
      </c>
      <c r="O772" s="2">
        <v>29456</v>
      </c>
      <c r="P772" s="6">
        <v>8695.1</v>
      </c>
    </row>
    <row r="773" spans="1:16" x14ac:dyDescent="0.3">
      <c r="A773" s="5" t="s">
        <v>1261</v>
      </c>
      <c r="B773" s="2" t="s">
        <v>1245</v>
      </c>
      <c r="C773" s="2" t="str">
        <f t="shared" si="12"/>
        <v>September</v>
      </c>
      <c r="D773" s="2" t="s">
        <v>4</v>
      </c>
      <c r="E773" s="2" t="s">
        <v>67</v>
      </c>
      <c r="F773" s="2" t="s">
        <v>68</v>
      </c>
      <c r="G773" s="2" t="s">
        <v>10</v>
      </c>
      <c r="H773" s="2" t="s">
        <v>69</v>
      </c>
      <c r="I773" s="2" t="s">
        <v>69</v>
      </c>
      <c r="J773" s="2" t="s">
        <v>17</v>
      </c>
      <c r="K773" s="2" t="s">
        <v>21</v>
      </c>
      <c r="L773" s="2">
        <v>3</v>
      </c>
      <c r="M773" s="2">
        <v>25156</v>
      </c>
      <c r="N773" s="2">
        <v>5</v>
      </c>
      <c r="O773" s="2">
        <v>71694.600000000006</v>
      </c>
      <c r="P773" s="6">
        <v>16734.97</v>
      </c>
    </row>
    <row r="774" spans="1:16" x14ac:dyDescent="0.3">
      <c r="A774" s="5" t="s">
        <v>1262</v>
      </c>
      <c r="B774" s="2" t="s">
        <v>1263</v>
      </c>
      <c r="C774" s="2" t="str">
        <f t="shared" si="12"/>
        <v>January</v>
      </c>
      <c r="D774" s="2" t="s">
        <v>4</v>
      </c>
      <c r="E774" s="2" t="s">
        <v>67</v>
      </c>
      <c r="F774" s="2" t="s">
        <v>68</v>
      </c>
      <c r="G774" s="2" t="s">
        <v>9</v>
      </c>
      <c r="H774" s="2" t="s">
        <v>59</v>
      </c>
      <c r="I774" s="2" t="s">
        <v>59</v>
      </c>
      <c r="J774" s="2" t="s">
        <v>15</v>
      </c>
      <c r="K774" s="2" t="s">
        <v>22</v>
      </c>
      <c r="L774" s="2">
        <v>9</v>
      </c>
      <c r="M774" s="2">
        <v>36536</v>
      </c>
      <c r="N774" s="2">
        <v>0</v>
      </c>
      <c r="O774" s="2">
        <v>328824</v>
      </c>
      <c r="P774" s="6">
        <v>25213.7</v>
      </c>
    </row>
    <row r="775" spans="1:16" x14ac:dyDescent="0.3">
      <c r="A775" s="5" t="s">
        <v>1264</v>
      </c>
      <c r="B775" s="2" t="s">
        <v>497</v>
      </c>
      <c r="C775" s="2" t="str">
        <f t="shared" si="12"/>
        <v>August</v>
      </c>
      <c r="D775" s="2" t="s">
        <v>5</v>
      </c>
      <c r="E775" s="2" t="s">
        <v>57</v>
      </c>
      <c r="F775" s="2" t="s">
        <v>58</v>
      </c>
      <c r="G775" s="2" t="s">
        <v>9</v>
      </c>
      <c r="H775" s="2" t="s">
        <v>90</v>
      </c>
      <c r="I775" s="2" t="s">
        <v>90</v>
      </c>
      <c r="J775" s="2" t="s">
        <v>19</v>
      </c>
      <c r="K775" s="2" t="s">
        <v>22</v>
      </c>
      <c r="L775" s="2">
        <v>5</v>
      </c>
      <c r="M775" s="2">
        <v>46233</v>
      </c>
      <c r="N775" s="2">
        <v>10</v>
      </c>
      <c r="O775" s="2">
        <v>208048.5</v>
      </c>
      <c r="P775" s="6">
        <v>26656.49</v>
      </c>
    </row>
    <row r="776" spans="1:16" x14ac:dyDescent="0.3">
      <c r="A776" s="5" t="s">
        <v>1265</v>
      </c>
      <c r="B776" s="2" t="s">
        <v>152</v>
      </c>
      <c r="C776" s="2" t="str">
        <f t="shared" si="12"/>
        <v>January</v>
      </c>
      <c r="D776" s="2" t="s">
        <v>5</v>
      </c>
      <c r="E776" s="2" t="s">
        <v>52</v>
      </c>
      <c r="F776" s="2" t="s">
        <v>53</v>
      </c>
      <c r="G776" s="2" t="s">
        <v>9</v>
      </c>
      <c r="H776" s="2" t="s">
        <v>90</v>
      </c>
      <c r="I776" s="2" t="s">
        <v>90</v>
      </c>
      <c r="J776" s="2" t="s">
        <v>12</v>
      </c>
      <c r="K776" s="2" t="s">
        <v>21</v>
      </c>
      <c r="L776" s="2">
        <v>5</v>
      </c>
      <c r="M776" s="2">
        <v>33120</v>
      </c>
      <c r="N776" s="2">
        <v>20</v>
      </c>
      <c r="O776" s="2">
        <v>132480</v>
      </c>
      <c r="P776" s="6">
        <v>29593.86</v>
      </c>
    </row>
    <row r="777" spans="1:16" x14ac:dyDescent="0.3">
      <c r="A777" s="5" t="s">
        <v>1266</v>
      </c>
      <c r="B777" s="2" t="s">
        <v>299</v>
      </c>
      <c r="C777" s="2" t="str">
        <f t="shared" si="12"/>
        <v>March</v>
      </c>
      <c r="D777" s="2" t="s">
        <v>5</v>
      </c>
      <c r="E777" s="2" t="s">
        <v>52</v>
      </c>
      <c r="F777" s="2" t="s">
        <v>53</v>
      </c>
      <c r="G777" s="2" t="s">
        <v>10</v>
      </c>
      <c r="H777" s="2" t="s">
        <v>54</v>
      </c>
      <c r="I777" s="2" t="s">
        <v>54</v>
      </c>
      <c r="J777" s="2" t="s">
        <v>17</v>
      </c>
      <c r="K777" s="2" t="s">
        <v>22</v>
      </c>
      <c r="L777" s="2">
        <v>5</v>
      </c>
      <c r="M777" s="2">
        <v>37617</v>
      </c>
      <c r="N777" s="2">
        <v>0</v>
      </c>
      <c r="O777" s="2">
        <v>188085</v>
      </c>
      <c r="P777" s="6">
        <v>39439.35</v>
      </c>
    </row>
    <row r="778" spans="1:16" x14ac:dyDescent="0.3">
      <c r="A778" s="5" t="s">
        <v>1267</v>
      </c>
      <c r="B778" s="2" t="s">
        <v>1268</v>
      </c>
      <c r="C778" s="2" t="str">
        <f t="shared" si="12"/>
        <v>August</v>
      </c>
      <c r="D778" s="2" t="s">
        <v>5</v>
      </c>
      <c r="E778" s="2" t="s">
        <v>57</v>
      </c>
      <c r="F778" s="2" t="s">
        <v>58</v>
      </c>
      <c r="G778" s="2" t="s">
        <v>8</v>
      </c>
      <c r="H778" s="2" t="s">
        <v>64</v>
      </c>
      <c r="I778" s="2" t="s">
        <v>64</v>
      </c>
      <c r="J778" s="2" t="s">
        <v>16</v>
      </c>
      <c r="K778" s="2" t="s">
        <v>22</v>
      </c>
      <c r="L778" s="2">
        <v>8</v>
      </c>
      <c r="M778" s="2">
        <v>42418</v>
      </c>
      <c r="N778" s="2">
        <v>20</v>
      </c>
      <c r="O778" s="2">
        <v>271475.20000000001</v>
      </c>
      <c r="P778" s="6">
        <v>77262.06</v>
      </c>
    </row>
    <row r="779" spans="1:16" x14ac:dyDescent="0.3">
      <c r="A779" s="5" t="s">
        <v>1269</v>
      </c>
      <c r="B779" s="2" t="s">
        <v>634</v>
      </c>
      <c r="C779" s="2" t="str">
        <f t="shared" si="12"/>
        <v>October</v>
      </c>
      <c r="D779" s="2" t="s">
        <v>4</v>
      </c>
      <c r="E779" s="2" t="s">
        <v>62</v>
      </c>
      <c r="F779" s="2" t="s">
        <v>63</v>
      </c>
      <c r="G779" s="2" t="s">
        <v>8</v>
      </c>
      <c r="H779" s="2" t="s">
        <v>133</v>
      </c>
      <c r="I779" s="2" t="s">
        <v>133</v>
      </c>
      <c r="J779" s="2" t="s">
        <v>15</v>
      </c>
      <c r="K779" s="2" t="s">
        <v>22</v>
      </c>
      <c r="L779" s="2">
        <v>3</v>
      </c>
      <c r="M779" s="2">
        <v>48110</v>
      </c>
      <c r="N779" s="2">
        <v>5</v>
      </c>
      <c r="O779" s="2">
        <v>137113.5</v>
      </c>
      <c r="P779" s="6">
        <v>7107.95</v>
      </c>
    </row>
    <row r="780" spans="1:16" x14ac:dyDescent="0.3">
      <c r="A780" s="5" t="s">
        <v>1270</v>
      </c>
      <c r="B780" s="2" t="s">
        <v>910</v>
      </c>
      <c r="C780" s="2" t="str">
        <f t="shared" si="12"/>
        <v>May</v>
      </c>
      <c r="D780" s="2" t="s">
        <v>2</v>
      </c>
      <c r="E780" s="2" t="s">
        <v>81</v>
      </c>
      <c r="F780" s="2" t="s">
        <v>82</v>
      </c>
      <c r="G780" s="2" t="s">
        <v>10</v>
      </c>
      <c r="H780" s="2" t="s">
        <v>54</v>
      </c>
      <c r="I780" s="2" t="s">
        <v>54</v>
      </c>
      <c r="J780" s="2" t="s">
        <v>19</v>
      </c>
      <c r="K780" s="2" t="s">
        <v>21</v>
      </c>
      <c r="L780" s="2">
        <v>8</v>
      </c>
      <c r="M780" s="2">
        <v>26200</v>
      </c>
      <c r="N780" s="2">
        <v>15</v>
      </c>
      <c r="O780" s="2">
        <v>178160</v>
      </c>
      <c r="P780" s="6">
        <v>30265.14</v>
      </c>
    </row>
    <row r="781" spans="1:16" x14ac:dyDescent="0.3">
      <c r="A781" s="5" t="s">
        <v>1271</v>
      </c>
      <c r="B781" s="2" t="s">
        <v>266</v>
      </c>
      <c r="C781" s="2" t="str">
        <f t="shared" si="12"/>
        <v>October</v>
      </c>
      <c r="D781" s="2" t="s">
        <v>5</v>
      </c>
      <c r="E781" s="2" t="s">
        <v>57</v>
      </c>
      <c r="F781" s="2" t="s">
        <v>58</v>
      </c>
      <c r="G781" s="2" t="s">
        <v>10</v>
      </c>
      <c r="H781" s="2" t="s">
        <v>83</v>
      </c>
      <c r="I781" s="2" t="s">
        <v>83</v>
      </c>
      <c r="J781" s="2" t="s">
        <v>18</v>
      </c>
      <c r="K781" s="2" t="s">
        <v>22</v>
      </c>
      <c r="L781" s="2">
        <v>3</v>
      </c>
      <c r="M781" s="2">
        <v>1477</v>
      </c>
      <c r="N781" s="2">
        <v>0</v>
      </c>
      <c r="O781" s="2">
        <v>4431</v>
      </c>
      <c r="P781" s="6">
        <v>792.23</v>
      </c>
    </row>
    <row r="782" spans="1:16" x14ac:dyDescent="0.3">
      <c r="A782" s="5" t="s">
        <v>1272</v>
      </c>
      <c r="B782" s="2" t="s">
        <v>611</v>
      </c>
      <c r="C782" s="2" t="str">
        <f t="shared" si="12"/>
        <v>July</v>
      </c>
      <c r="D782" s="2" t="s">
        <v>3</v>
      </c>
      <c r="E782" s="2" t="s">
        <v>117</v>
      </c>
      <c r="F782" s="2" t="s">
        <v>117</v>
      </c>
      <c r="G782" s="2" t="s">
        <v>9</v>
      </c>
      <c r="H782" s="2" t="s">
        <v>59</v>
      </c>
      <c r="I782" s="2" t="s">
        <v>59</v>
      </c>
      <c r="J782" s="2" t="s">
        <v>17</v>
      </c>
      <c r="K782" s="2" t="s">
        <v>21</v>
      </c>
      <c r="L782" s="2">
        <v>6</v>
      </c>
      <c r="M782" s="2">
        <v>35403</v>
      </c>
      <c r="N782" s="2">
        <v>5</v>
      </c>
      <c r="O782" s="2">
        <v>201797.1</v>
      </c>
      <c r="P782" s="6">
        <v>49061.78</v>
      </c>
    </row>
    <row r="783" spans="1:16" x14ac:dyDescent="0.3">
      <c r="A783" s="5" t="s">
        <v>1273</v>
      </c>
      <c r="B783" s="2" t="s">
        <v>777</v>
      </c>
      <c r="C783" s="2" t="str">
        <f t="shared" si="12"/>
        <v>May</v>
      </c>
      <c r="D783" s="2" t="s">
        <v>4</v>
      </c>
      <c r="E783" s="2" t="s">
        <v>62</v>
      </c>
      <c r="F783" s="2" t="s">
        <v>63</v>
      </c>
      <c r="G783" s="2" t="s">
        <v>9</v>
      </c>
      <c r="H783" s="2" t="s">
        <v>59</v>
      </c>
      <c r="I783" s="2" t="s">
        <v>59</v>
      </c>
      <c r="J783" s="2" t="s">
        <v>13</v>
      </c>
      <c r="K783" s="2" t="s">
        <v>21</v>
      </c>
      <c r="L783" s="2">
        <v>8</v>
      </c>
      <c r="M783" s="2">
        <v>14920</v>
      </c>
      <c r="N783" s="2">
        <v>5</v>
      </c>
      <c r="O783" s="2">
        <v>113392</v>
      </c>
      <c r="P783" s="6">
        <v>22311.24</v>
      </c>
    </row>
    <row r="784" spans="1:16" x14ac:dyDescent="0.3">
      <c r="A784" s="5" t="s">
        <v>1274</v>
      </c>
      <c r="B784" s="2" t="s">
        <v>1077</v>
      </c>
      <c r="C784" s="2" t="str">
        <f t="shared" si="12"/>
        <v>March</v>
      </c>
      <c r="D784" s="2" t="s">
        <v>2</v>
      </c>
      <c r="E784" s="2" t="s">
        <v>81</v>
      </c>
      <c r="F784" s="2" t="s">
        <v>82</v>
      </c>
      <c r="G784" s="2" t="s">
        <v>9</v>
      </c>
      <c r="H784" s="2" t="s">
        <v>59</v>
      </c>
      <c r="I784" s="2" t="s">
        <v>59</v>
      </c>
      <c r="J784" s="2" t="s">
        <v>12</v>
      </c>
      <c r="K784" s="2" t="s">
        <v>22</v>
      </c>
      <c r="L784" s="2">
        <v>2</v>
      </c>
      <c r="M784" s="2">
        <v>19332</v>
      </c>
      <c r="N784" s="2">
        <v>0</v>
      </c>
      <c r="O784" s="2">
        <v>38664</v>
      </c>
      <c r="P784" s="6">
        <v>6057.77</v>
      </c>
    </row>
    <row r="785" spans="1:16" x14ac:dyDescent="0.3">
      <c r="A785" s="5" t="s">
        <v>1275</v>
      </c>
      <c r="B785" s="2" t="s">
        <v>599</v>
      </c>
      <c r="C785" s="2" t="str">
        <f t="shared" si="12"/>
        <v>June</v>
      </c>
      <c r="D785" s="2" t="s">
        <v>4</v>
      </c>
      <c r="E785" s="2" t="s">
        <v>67</v>
      </c>
      <c r="F785" s="2" t="s">
        <v>68</v>
      </c>
      <c r="G785" s="2" t="s">
        <v>8</v>
      </c>
      <c r="H785" s="2" t="s">
        <v>133</v>
      </c>
      <c r="I785" s="2" t="s">
        <v>133</v>
      </c>
      <c r="J785" s="2" t="s">
        <v>14</v>
      </c>
      <c r="K785" s="2" t="s">
        <v>21</v>
      </c>
      <c r="L785" s="2">
        <v>7</v>
      </c>
      <c r="M785" s="2">
        <v>10782</v>
      </c>
      <c r="N785" s="2">
        <v>15</v>
      </c>
      <c r="O785" s="2">
        <v>64152.9</v>
      </c>
      <c r="P785" s="6">
        <v>5170.9399999999996</v>
      </c>
    </row>
    <row r="786" spans="1:16" x14ac:dyDescent="0.3">
      <c r="A786" s="5" t="s">
        <v>1276</v>
      </c>
      <c r="B786" s="2" t="s">
        <v>969</v>
      </c>
      <c r="C786" s="2" t="str">
        <f t="shared" si="12"/>
        <v>July</v>
      </c>
      <c r="D786" s="2" t="s">
        <v>4</v>
      </c>
      <c r="E786" s="2" t="s">
        <v>67</v>
      </c>
      <c r="F786" s="2" t="s">
        <v>68</v>
      </c>
      <c r="G786" s="2" t="s">
        <v>9</v>
      </c>
      <c r="H786" s="2" t="s">
        <v>90</v>
      </c>
      <c r="I786" s="2" t="s">
        <v>90</v>
      </c>
      <c r="J786" s="2" t="s">
        <v>13</v>
      </c>
      <c r="K786" s="2" t="s">
        <v>22</v>
      </c>
      <c r="L786" s="2">
        <v>4</v>
      </c>
      <c r="M786" s="2">
        <v>7425</v>
      </c>
      <c r="N786" s="2">
        <v>15</v>
      </c>
      <c r="O786" s="2">
        <v>25245</v>
      </c>
      <c r="P786" s="6">
        <v>2364.83</v>
      </c>
    </row>
    <row r="787" spans="1:16" x14ac:dyDescent="0.3">
      <c r="A787" s="5" t="s">
        <v>1277</v>
      </c>
      <c r="B787" s="2" t="s">
        <v>213</v>
      </c>
      <c r="C787" s="2" t="str">
        <f t="shared" si="12"/>
        <v>May</v>
      </c>
      <c r="D787" s="2" t="s">
        <v>3</v>
      </c>
      <c r="E787" s="2" t="s">
        <v>75</v>
      </c>
      <c r="F787" s="2" t="s">
        <v>75</v>
      </c>
      <c r="G787" s="2" t="s">
        <v>8</v>
      </c>
      <c r="H787" s="2" t="s">
        <v>64</v>
      </c>
      <c r="I787" s="2" t="s">
        <v>64</v>
      </c>
      <c r="J787" s="2" t="s">
        <v>16</v>
      </c>
      <c r="K787" s="2" t="s">
        <v>21</v>
      </c>
      <c r="L787" s="2">
        <v>5</v>
      </c>
      <c r="M787" s="2">
        <v>14126</v>
      </c>
      <c r="N787" s="2">
        <v>5</v>
      </c>
      <c r="O787" s="2">
        <v>67098.5</v>
      </c>
      <c r="P787" s="6">
        <v>7698.23</v>
      </c>
    </row>
    <row r="788" spans="1:16" x14ac:dyDescent="0.3">
      <c r="A788" s="5" t="s">
        <v>1278</v>
      </c>
      <c r="B788" s="2" t="s">
        <v>360</v>
      </c>
      <c r="C788" s="2" t="str">
        <f t="shared" si="12"/>
        <v>April</v>
      </c>
      <c r="D788" s="2" t="s">
        <v>5</v>
      </c>
      <c r="E788" s="2" t="s">
        <v>57</v>
      </c>
      <c r="F788" s="2" t="s">
        <v>58</v>
      </c>
      <c r="G788" s="2" t="s">
        <v>9</v>
      </c>
      <c r="H788" s="2" t="s">
        <v>72</v>
      </c>
      <c r="I788" s="2" t="s">
        <v>72</v>
      </c>
      <c r="J788" s="2" t="s">
        <v>18</v>
      </c>
      <c r="K788" s="2" t="s">
        <v>22</v>
      </c>
      <c r="L788" s="2">
        <v>6</v>
      </c>
      <c r="M788" s="2">
        <v>12541</v>
      </c>
      <c r="N788" s="2">
        <v>5</v>
      </c>
      <c r="O788" s="2">
        <v>71483.7</v>
      </c>
      <c r="P788" s="6">
        <v>5992.18</v>
      </c>
    </row>
    <row r="789" spans="1:16" x14ac:dyDescent="0.3">
      <c r="A789" s="5" t="s">
        <v>1279</v>
      </c>
      <c r="B789" s="2" t="s">
        <v>1113</v>
      </c>
      <c r="C789" s="2" t="str">
        <f t="shared" si="12"/>
        <v>September</v>
      </c>
      <c r="D789" s="2" t="s">
        <v>3</v>
      </c>
      <c r="E789" s="2" t="s">
        <v>75</v>
      </c>
      <c r="F789" s="2" t="s">
        <v>75</v>
      </c>
      <c r="G789" s="2" t="s">
        <v>10</v>
      </c>
      <c r="H789" s="2" t="s">
        <v>83</v>
      </c>
      <c r="I789" s="2" t="s">
        <v>83</v>
      </c>
      <c r="J789" s="2" t="s">
        <v>13</v>
      </c>
      <c r="K789" s="2" t="s">
        <v>21</v>
      </c>
      <c r="L789" s="2">
        <v>2</v>
      </c>
      <c r="M789" s="2">
        <v>11403</v>
      </c>
      <c r="N789" s="2">
        <v>15</v>
      </c>
      <c r="O789" s="2">
        <v>19385.099999999999</v>
      </c>
      <c r="P789" s="6">
        <v>2915.93</v>
      </c>
    </row>
    <row r="790" spans="1:16" x14ac:dyDescent="0.3">
      <c r="A790" s="5" t="s">
        <v>1280</v>
      </c>
      <c r="B790" s="2" t="s">
        <v>106</v>
      </c>
      <c r="C790" s="2" t="str">
        <f t="shared" si="12"/>
        <v>September</v>
      </c>
      <c r="D790" s="2" t="s">
        <v>3</v>
      </c>
      <c r="E790" s="2" t="s">
        <v>117</v>
      </c>
      <c r="F790" s="2" t="s">
        <v>117</v>
      </c>
      <c r="G790" s="2" t="s">
        <v>9</v>
      </c>
      <c r="H790" s="2" t="s">
        <v>126</v>
      </c>
      <c r="I790" s="2" t="s">
        <v>126</v>
      </c>
      <c r="J790" s="2" t="s">
        <v>17</v>
      </c>
      <c r="K790" s="2" t="s">
        <v>22</v>
      </c>
      <c r="L790" s="2">
        <v>7</v>
      </c>
      <c r="M790" s="2">
        <v>30024</v>
      </c>
      <c r="N790" s="2">
        <v>0</v>
      </c>
      <c r="O790" s="2">
        <v>210168</v>
      </c>
      <c r="P790" s="6">
        <v>59756.160000000003</v>
      </c>
    </row>
    <row r="791" spans="1:16" x14ac:dyDescent="0.3">
      <c r="A791" s="5" t="s">
        <v>1281</v>
      </c>
      <c r="B791" s="2" t="s">
        <v>230</v>
      </c>
      <c r="C791" s="2" t="str">
        <f t="shared" si="12"/>
        <v>October</v>
      </c>
      <c r="D791" s="2" t="s">
        <v>2</v>
      </c>
      <c r="E791" s="2" t="s">
        <v>103</v>
      </c>
      <c r="F791" s="2" t="s">
        <v>104</v>
      </c>
      <c r="G791" s="2" t="s">
        <v>10</v>
      </c>
      <c r="H791" s="2" t="s">
        <v>100</v>
      </c>
      <c r="I791" s="2" t="s">
        <v>100</v>
      </c>
      <c r="J791" s="2" t="s">
        <v>16</v>
      </c>
      <c r="K791" s="2" t="s">
        <v>22</v>
      </c>
      <c r="L791" s="2">
        <v>5</v>
      </c>
      <c r="M791" s="2">
        <v>8887</v>
      </c>
      <c r="N791" s="2">
        <v>15</v>
      </c>
      <c r="O791" s="2">
        <v>37769.75</v>
      </c>
      <c r="P791" s="6">
        <v>3593.37</v>
      </c>
    </row>
    <row r="792" spans="1:16" x14ac:dyDescent="0.3">
      <c r="A792" s="5" t="s">
        <v>1282</v>
      </c>
      <c r="B792" s="2" t="s">
        <v>318</v>
      </c>
      <c r="C792" s="2" t="str">
        <f t="shared" si="12"/>
        <v>April</v>
      </c>
      <c r="D792" s="2" t="s">
        <v>4</v>
      </c>
      <c r="E792" s="2" t="s">
        <v>62</v>
      </c>
      <c r="F792" s="2" t="s">
        <v>63</v>
      </c>
      <c r="G792" s="2" t="s">
        <v>9</v>
      </c>
      <c r="H792" s="2" t="s">
        <v>72</v>
      </c>
      <c r="I792" s="2" t="s">
        <v>72</v>
      </c>
      <c r="J792" s="2" t="s">
        <v>13</v>
      </c>
      <c r="K792" s="2" t="s">
        <v>21</v>
      </c>
      <c r="L792" s="2">
        <v>1</v>
      </c>
      <c r="M792" s="2">
        <v>10412</v>
      </c>
      <c r="N792" s="2">
        <v>10</v>
      </c>
      <c r="O792" s="2">
        <v>9370.7999999999993</v>
      </c>
      <c r="P792" s="6">
        <v>1893.65</v>
      </c>
    </row>
    <row r="793" spans="1:16" x14ac:dyDescent="0.3">
      <c r="A793" s="5" t="s">
        <v>1283</v>
      </c>
      <c r="B793" s="2" t="s">
        <v>1284</v>
      </c>
      <c r="C793" s="2" t="str">
        <f t="shared" si="12"/>
        <v>March</v>
      </c>
      <c r="D793" s="2" t="s">
        <v>2</v>
      </c>
      <c r="E793" s="2" t="s">
        <v>81</v>
      </c>
      <c r="F793" s="2" t="s">
        <v>82</v>
      </c>
      <c r="G793" s="2" t="s">
        <v>8</v>
      </c>
      <c r="H793" s="2" t="s">
        <v>133</v>
      </c>
      <c r="I793" s="2" t="s">
        <v>133</v>
      </c>
      <c r="J793" s="2" t="s">
        <v>18</v>
      </c>
      <c r="K793" s="2" t="s">
        <v>21</v>
      </c>
      <c r="L793" s="2">
        <v>1</v>
      </c>
      <c r="M793" s="2">
        <v>35044</v>
      </c>
      <c r="N793" s="2">
        <v>0</v>
      </c>
      <c r="O793" s="2">
        <v>35044</v>
      </c>
      <c r="P793" s="6">
        <v>8026.83</v>
      </c>
    </row>
    <row r="794" spans="1:16" x14ac:dyDescent="0.3">
      <c r="A794" s="5" t="s">
        <v>1285</v>
      </c>
      <c r="B794" s="2" t="s">
        <v>585</v>
      </c>
      <c r="C794" s="2" t="str">
        <f t="shared" si="12"/>
        <v>January</v>
      </c>
      <c r="D794" s="2" t="s">
        <v>2</v>
      </c>
      <c r="E794" s="2" t="s">
        <v>81</v>
      </c>
      <c r="F794" s="2" t="s">
        <v>82</v>
      </c>
      <c r="G794" s="2" t="s">
        <v>9</v>
      </c>
      <c r="H794" s="2" t="s">
        <v>72</v>
      </c>
      <c r="I794" s="2" t="s">
        <v>72</v>
      </c>
      <c r="J794" s="2" t="s">
        <v>19</v>
      </c>
      <c r="K794" s="2" t="s">
        <v>22</v>
      </c>
      <c r="L794" s="2">
        <v>4</v>
      </c>
      <c r="M794" s="2">
        <v>21861</v>
      </c>
      <c r="N794" s="2">
        <v>5</v>
      </c>
      <c r="O794" s="2">
        <v>83071.8</v>
      </c>
      <c r="P794" s="6">
        <v>19695.490000000002</v>
      </c>
    </row>
    <row r="795" spans="1:16" x14ac:dyDescent="0.3">
      <c r="A795" s="5" t="s">
        <v>1286</v>
      </c>
      <c r="B795" s="2" t="s">
        <v>395</v>
      </c>
      <c r="C795" s="2" t="str">
        <f t="shared" si="12"/>
        <v>January</v>
      </c>
      <c r="D795" s="2" t="s">
        <v>3</v>
      </c>
      <c r="E795" s="2" t="s">
        <v>75</v>
      </c>
      <c r="F795" s="2" t="s">
        <v>75</v>
      </c>
      <c r="G795" s="2" t="s">
        <v>10</v>
      </c>
      <c r="H795" s="2" t="s">
        <v>83</v>
      </c>
      <c r="I795" s="2" t="s">
        <v>83</v>
      </c>
      <c r="J795" s="2" t="s">
        <v>13</v>
      </c>
      <c r="K795" s="2" t="s">
        <v>21</v>
      </c>
      <c r="L795" s="2">
        <v>3</v>
      </c>
      <c r="M795" s="2">
        <v>14926</v>
      </c>
      <c r="N795" s="2">
        <v>15</v>
      </c>
      <c r="O795" s="2">
        <v>38061.300000000003</v>
      </c>
      <c r="P795" s="6">
        <v>2518.15</v>
      </c>
    </row>
    <row r="796" spans="1:16" x14ac:dyDescent="0.3">
      <c r="A796" s="5" t="s">
        <v>1287</v>
      </c>
      <c r="B796" s="2" t="s">
        <v>609</v>
      </c>
      <c r="C796" s="2" t="str">
        <f t="shared" si="12"/>
        <v>August</v>
      </c>
      <c r="D796" s="2" t="s">
        <v>3</v>
      </c>
      <c r="E796" s="2" t="s">
        <v>117</v>
      </c>
      <c r="F796" s="2" t="s">
        <v>117</v>
      </c>
      <c r="G796" s="2" t="s">
        <v>8</v>
      </c>
      <c r="H796" s="2" t="s">
        <v>93</v>
      </c>
      <c r="I796" s="2" t="s">
        <v>93</v>
      </c>
      <c r="J796" s="2" t="s">
        <v>17</v>
      </c>
      <c r="K796" s="2" t="s">
        <v>22</v>
      </c>
      <c r="L796" s="2">
        <v>4</v>
      </c>
      <c r="M796" s="2">
        <v>45533</v>
      </c>
      <c r="N796" s="2">
        <v>20</v>
      </c>
      <c r="O796" s="2">
        <v>145705.60000000001</v>
      </c>
      <c r="P796" s="6">
        <v>34632.94</v>
      </c>
    </row>
    <row r="797" spans="1:16" x14ac:dyDescent="0.3">
      <c r="A797" s="5" t="s">
        <v>1288</v>
      </c>
      <c r="B797" s="2" t="s">
        <v>1289</v>
      </c>
      <c r="C797" s="2" t="str">
        <f t="shared" si="12"/>
        <v>April</v>
      </c>
      <c r="D797" s="2" t="s">
        <v>3</v>
      </c>
      <c r="E797" s="2" t="s">
        <v>117</v>
      </c>
      <c r="F797" s="2" t="s">
        <v>117</v>
      </c>
      <c r="G797" s="2" t="s">
        <v>8</v>
      </c>
      <c r="H797" s="2" t="s">
        <v>93</v>
      </c>
      <c r="I797" s="2" t="s">
        <v>93</v>
      </c>
      <c r="J797" s="2" t="s">
        <v>14</v>
      </c>
      <c r="K797" s="2" t="s">
        <v>22</v>
      </c>
      <c r="L797" s="2">
        <v>5</v>
      </c>
      <c r="M797" s="2">
        <v>34451</v>
      </c>
      <c r="N797" s="2">
        <v>0</v>
      </c>
      <c r="O797" s="2">
        <v>172255</v>
      </c>
      <c r="P797" s="6">
        <v>9890.5499999999993</v>
      </c>
    </row>
    <row r="798" spans="1:16" x14ac:dyDescent="0.3">
      <c r="A798" s="5" t="s">
        <v>1290</v>
      </c>
      <c r="B798" s="2" t="s">
        <v>1291</v>
      </c>
      <c r="C798" s="2" t="str">
        <f t="shared" si="12"/>
        <v>August</v>
      </c>
      <c r="D798" s="2" t="s">
        <v>3</v>
      </c>
      <c r="E798" s="2" t="s">
        <v>117</v>
      </c>
      <c r="F798" s="2" t="s">
        <v>117</v>
      </c>
      <c r="G798" s="2" t="s">
        <v>9</v>
      </c>
      <c r="H798" s="2" t="s">
        <v>126</v>
      </c>
      <c r="I798" s="2" t="s">
        <v>126</v>
      </c>
      <c r="J798" s="2" t="s">
        <v>14</v>
      </c>
      <c r="K798" s="2" t="s">
        <v>21</v>
      </c>
      <c r="L798" s="2">
        <v>2</v>
      </c>
      <c r="M798" s="2">
        <v>45793</v>
      </c>
      <c r="N798" s="2">
        <v>20</v>
      </c>
      <c r="O798" s="2">
        <v>73268.800000000003</v>
      </c>
      <c r="P798" s="6">
        <v>20682.650000000001</v>
      </c>
    </row>
    <row r="799" spans="1:16" x14ac:dyDescent="0.3">
      <c r="A799" s="5" t="s">
        <v>1292</v>
      </c>
      <c r="B799" s="2" t="s">
        <v>202</v>
      </c>
      <c r="C799" s="2" t="str">
        <f t="shared" si="12"/>
        <v>May</v>
      </c>
      <c r="D799" s="2" t="s">
        <v>3</v>
      </c>
      <c r="E799" s="2" t="s">
        <v>75</v>
      </c>
      <c r="F799" s="2" t="s">
        <v>75</v>
      </c>
      <c r="G799" s="2" t="s">
        <v>10</v>
      </c>
      <c r="H799" s="2" t="s">
        <v>83</v>
      </c>
      <c r="I799" s="2" t="s">
        <v>83</v>
      </c>
      <c r="J799" s="2" t="s">
        <v>14</v>
      </c>
      <c r="K799" s="2" t="s">
        <v>22</v>
      </c>
      <c r="L799" s="2">
        <v>8</v>
      </c>
      <c r="M799" s="2">
        <v>16814</v>
      </c>
      <c r="N799" s="2">
        <v>10</v>
      </c>
      <c r="O799" s="2">
        <v>121060.8</v>
      </c>
      <c r="P799" s="6">
        <v>13187.98</v>
      </c>
    </row>
    <row r="800" spans="1:16" x14ac:dyDescent="0.3">
      <c r="A800" s="5" t="s">
        <v>1293</v>
      </c>
      <c r="B800" s="2" t="s">
        <v>190</v>
      </c>
      <c r="C800" s="2" t="str">
        <f t="shared" si="12"/>
        <v>October</v>
      </c>
      <c r="D800" s="2" t="s">
        <v>2</v>
      </c>
      <c r="E800" s="2" t="s">
        <v>81</v>
      </c>
      <c r="F800" s="2" t="s">
        <v>82</v>
      </c>
      <c r="G800" s="2" t="s">
        <v>10</v>
      </c>
      <c r="H800" s="2" t="s">
        <v>100</v>
      </c>
      <c r="I800" s="2" t="s">
        <v>100</v>
      </c>
      <c r="J800" s="2" t="s">
        <v>19</v>
      </c>
      <c r="K800" s="2" t="s">
        <v>21</v>
      </c>
      <c r="L800" s="2">
        <v>4</v>
      </c>
      <c r="M800" s="2">
        <v>3996</v>
      </c>
      <c r="N800" s="2">
        <v>10</v>
      </c>
      <c r="O800" s="2">
        <v>14385.6</v>
      </c>
      <c r="P800" s="6">
        <v>3503.4</v>
      </c>
    </row>
    <row r="801" spans="1:16" x14ac:dyDescent="0.3">
      <c r="A801" s="5" t="s">
        <v>1294</v>
      </c>
      <c r="B801" s="2" t="s">
        <v>1295</v>
      </c>
      <c r="C801" s="2" t="str">
        <f t="shared" si="12"/>
        <v>March</v>
      </c>
      <c r="D801" s="2" t="s">
        <v>5</v>
      </c>
      <c r="E801" s="2" t="s">
        <v>57</v>
      </c>
      <c r="F801" s="2" t="s">
        <v>58</v>
      </c>
      <c r="G801" s="2" t="s">
        <v>8</v>
      </c>
      <c r="H801" s="2" t="s">
        <v>64</v>
      </c>
      <c r="I801" s="2" t="s">
        <v>64</v>
      </c>
      <c r="J801" s="2" t="s">
        <v>12</v>
      </c>
      <c r="K801" s="2" t="s">
        <v>21</v>
      </c>
      <c r="L801" s="2">
        <v>2</v>
      </c>
      <c r="M801" s="2">
        <v>26985</v>
      </c>
      <c r="N801" s="2">
        <v>15</v>
      </c>
      <c r="O801" s="2">
        <v>45874.5</v>
      </c>
      <c r="P801" s="6">
        <v>10774.22</v>
      </c>
    </row>
    <row r="802" spans="1:16" x14ac:dyDescent="0.3">
      <c r="A802" s="5" t="s">
        <v>1296</v>
      </c>
      <c r="B802" s="2" t="s">
        <v>202</v>
      </c>
      <c r="C802" s="2" t="str">
        <f t="shared" si="12"/>
        <v>May</v>
      </c>
      <c r="D802" s="2" t="s">
        <v>2</v>
      </c>
      <c r="E802" s="2" t="s">
        <v>103</v>
      </c>
      <c r="F802" s="2" t="s">
        <v>104</v>
      </c>
      <c r="G802" s="2" t="s">
        <v>10</v>
      </c>
      <c r="H802" s="2" t="s">
        <v>100</v>
      </c>
      <c r="I802" s="2" t="s">
        <v>100</v>
      </c>
      <c r="J802" s="2" t="s">
        <v>17</v>
      </c>
      <c r="K802" s="2" t="s">
        <v>22</v>
      </c>
      <c r="L802" s="2">
        <v>8</v>
      </c>
      <c r="M802" s="2">
        <v>3681</v>
      </c>
      <c r="N802" s="2">
        <v>0</v>
      </c>
      <c r="O802" s="2">
        <v>29448</v>
      </c>
      <c r="P802" s="6">
        <v>4433.1499999999996</v>
      </c>
    </row>
    <row r="803" spans="1:16" x14ac:dyDescent="0.3">
      <c r="A803" s="5" t="s">
        <v>1297</v>
      </c>
      <c r="B803" s="2" t="s">
        <v>825</v>
      </c>
      <c r="C803" s="2" t="str">
        <f t="shared" si="12"/>
        <v>June</v>
      </c>
      <c r="D803" s="2" t="s">
        <v>2</v>
      </c>
      <c r="E803" s="2" t="s">
        <v>103</v>
      </c>
      <c r="F803" s="2" t="s">
        <v>104</v>
      </c>
      <c r="G803" s="2" t="s">
        <v>9</v>
      </c>
      <c r="H803" s="2" t="s">
        <v>126</v>
      </c>
      <c r="I803" s="2" t="s">
        <v>126</v>
      </c>
      <c r="J803" s="2" t="s">
        <v>15</v>
      </c>
      <c r="K803" s="2" t="s">
        <v>22</v>
      </c>
      <c r="L803" s="2">
        <v>9</v>
      </c>
      <c r="M803" s="2">
        <v>14166</v>
      </c>
      <c r="N803" s="2">
        <v>10</v>
      </c>
      <c r="O803" s="2">
        <v>114744.6</v>
      </c>
      <c r="P803" s="6">
        <v>31591.81</v>
      </c>
    </row>
    <row r="804" spans="1:16" x14ac:dyDescent="0.3">
      <c r="A804" s="5" t="s">
        <v>1298</v>
      </c>
      <c r="B804" s="2" t="s">
        <v>505</v>
      </c>
      <c r="C804" s="2" t="str">
        <f t="shared" si="12"/>
        <v>November</v>
      </c>
      <c r="D804" s="2" t="s">
        <v>4</v>
      </c>
      <c r="E804" s="2" t="s">
        <v>62</v>
      </c>
      <c r="F804" s="2" t="s">
        <v>63</v>
      </c>
      <c r="G804" s="2" t="s">
        <v>10</v>
      </c>
      <c r="H804" s="2" t="s">
        <v>69</v>
      </c>
      <c r="I804" s="2" t="s">
        <v>69</v>
      </c>
      <c r="J804" s="2" t="s">
        <v>16</v>
      </c>
      <c r="K804" s="2" t="s">
        <v>22</v>
      </c>
      <c r="L804" s="2">
        <v>3</v>
      </c>
      <c r="M804" s="2">
        <v>27951</v>
      </c>
      <c r="N804" s="2">
        <v>20</v>
      </c>
      <c r="O804" s="2">
        <v>67082.399999999994</v>
      </c>
      <c r="P804" s="6">
        <v>8063.92</v>
      </c>
    </row>
    <row r="805" spans="1:16" x14ac:dyDescent="0.3">
      <c r="A805" s="5" t="s">
        <v>1299</v>
      </c>
      <c r="B805" s="2" t="s">
        <v>80</v>
      </c>
      <c r="C805" s="2" t="str">
        <f t="shared" si="12"/>
        <v>December</v>
      </c>
      <c r="D805" s="2" t="s">
        <v>4</v>
      </c>
      <c r="E805" s="2" t="s">
        <v>67</v>
      </c>
      <c r="F805" s="2" t="s">
        <v>68</v>
      </c>
      <c r="G805" s="2" t="s">
        <v>10</v>
      </c>
      <c r="H805" s="2" t="s">
        <v>69</v>
      </c>
      <c r="I805" s="2" t="s">
        <v>69</v>
      </c>
      <c r="J805" s="2" t="s">
        <v>18</v>
      </c>
      <c r="K805" s="2" t="s">
        <v>21</v>
      </c>
      <c r="L805" s="2">
        <v>7</v>
      </c>
      <c r="M805" s="2">
        <v>38643</v>
      </c>
      <c r="N805" s="2">
        <v>15</v>
      </c>
      <c r="O805" s="2">
        <v>229925.85</v>
      </c>
      <c r="P805" s="6">
        <v>58784.47</v>
      </c>
    </row>
    <row r="806" spans="1:16" x14ac:dyDescent="0.3">
      <c r="A806" s="5" t="s">
        <v>1300</v>
      </c>
      <c r="B806" s="2" t="s">
        <v>417</v>
      </c>
      <c r="C806" s="2" t="str">
        <f t="shared" si="12"/>
        <v>January</v>
      </c>
      <c r="D806" s="2" t="s">
        <v>5</v>
      </c>
      <c r="E806" s="2" t="s">
        <v>52</v>
      </c>
      <c r="F806" s="2" t="s">
        <v>53</v>
      </c>
      <c r="G806" s="2" t="s">
        <v>8</v>
      </c>
      <c r="H806" s="2" t="s">
        <v>93</v>
      </c>
      <c r="I806" s="2" t="s">
        <v>93</v>
      </c>
      <c r="J806" s="2" t="s">
        <v>18</v>
      </c>
      <c r="K806" s="2" t="s">
        <v>21</v>
      </c>
      <c r="L806" s="2">
        <v>8</v>
      </c>
      <c r="M806" s="2">
        <v>47575</v>
      </c>
      <c r="N806" s="2">
        <v>15</v>
      </c>
      <c r="O806" s="2">
        <v>323510</v>
      </c>
      <c r="P806" s="6">
        <v>82258.490000000005</v>
      </c>
    </row>
    <row r="807" spans="1:16" x14ac:dyDescent="0.3">
      <c r="A807" s="5" t="s">
        <v>1301</v>
      </c>
      <c r="B807" s="2" t="s">
        <v>332</v>
      </c>
      <c r="C807" s="2" t="str">
        <f t="shared" si="12"/>
        <v>July</v>
      </c>
      <c r="D807" s="2" t="s">
        <v>2</v>
      </c>
      <c r="E807" s="2" t="s">
        <v>81</v>
      </c>
      <c r="F807" s="2" t="s">
        <v>82</v>
      </c>
      <c r="G807" s="2" t="s">
        <v>10</v>
      </c>
      <c r="H807" s="2" t="s">
        <v>83</v>
      </c>
      <c r="I807" s="2" t="s">
        <v>83</v>
      </c>
      <c r="J807" s="2" t="s">
        <v>17</v>
      </c>
      <c r="K807" s="2" t="s">
        <v>22</v>
      </c>
      <c r="L807" s="2">
        <v>8</v>
      </c>
      <c r="M807" s="2">
        <v>15983</v>
      </c>
      <c r="N807" s="2">
        <v>10</v>
      </c>
      <c r="O807" s="2">
        <v>115077.6</v>
      </c>
      <c r="P807" s="6">
        <v>28356.95</v>
      </c>
    </row>
    <row r="808" spans="1:16" x14ac:dyDescent="0.3">
      <c r="A808" s="5" t="s">
        <v>1302</v>
      </c>
      <c r="B808" s="2" t="s">
        <v>1303</v>
      </c>
      <c r="C808" s="2" t="str">
        <f t="shared" si="12"/>
        <v>October</v>
      </c>
      <c r="D808" s="2" t="s">
        <v>5</v>
      </c>
      <c r="E808" s="2" t="s">
        <v>52</v>
      </c>
      <c r="F808" s="2" t="s">
        <v>53</v>
      </c>
      <c r="G808" s="2" t="s">
        <v>9</v>
      </c>
      <c r="H808" s="2" t="s">
        <v>126</v>
      </c>
      <c r="I808" s="2" t="s">
        <v>126</v>
      </c>
      <c r="J808" s="2" t="s">
        <v>12</v>
      </c>
      <c r="K808" s="2" t="s">
        <v>22</v>
      </c>
      <c r="L808" s="2">
        <v>8</v>
      </c>
      <c r="M808" s="2">
        <v>36014</v>
      </c>
      <c r="N808" s="2">
        <v>5</v>
      </c>
      <c r="O808" s="2">
        <v>273706.40000000002</v>
      </c>
      <c r="P808" s="6">
        <v>73239.09</v>
      </c>
    </row>
    <row r="809" spans="1:16" x14ac:dyDescent="0.3">
      <c r="A809" s="5" t="s">
        <v>1304</v>
      </c>
      <c r="B809" s="2" t="s">
        <v>601</v>
      </c>
      <c r="C809" s="2" t="str">
        <f t="shared" si="12"/>
        <v>November</v>
      </c>
      <c r="D809" s="2" t="s">
        <v>5</v>
      </c>
      <c r="E809" s="2" t="s">
        <v>52</v>
      </c>
      <c r="F809" s="2" t="s">
        <v>53</v>
      </c>
      <c r="G809" s="2" t="s">
        <v>9</v>
      </c>
      <c r="H809" s="2" t="s">
        <v>72</v>
      </c>
      <c r="I809" s="2" t="s">
        <v>72</v>
      </c>
      <c r="J809" s="2" t="s">
        <v>14</v>
      </c>
      <c r="K809" s="2" t="s">
        <v>22</v>
      </c>
      <c r="L809" s="2">
        <v>1</v>
      </c>
      <c r="M809" s="2">
        <v>16874</v>
      </c>
      <c r="N809" s="2">
        <v>10</v>
      </c>
      <c r="O809" s="2">
        <v>15186.6</v>
      </c>
      <c r="P809" s="6">
        <v>3566.14</v>
      </c>
    </row>
    <row r="810" spans="1:16" x14ac:dyDescent="0.3">
      <c r="A810" s="5" t="s">
        <v>1305</v>
      </c>
      <c r="B810" s="2" t="s">
        <v>528</v>
      </c>
      <c r="C810" s="2" t="str">
        <f t="shared" si="12"/>
        <v>April</v>
      </c>
      <c r="D810" s="2" t="s">
        <v>4</v>
      </c>
      <c r="E810" s="2" t="s">
        <v>62</v>
      </c>
      <c r="F810" s="2" t="s">
        <v>63</v>
      </c>
      <c r="G810" s="2" t="s">
        <v>10</v>
      </c>
      <c r="H810" s="2" t="s">
        <v>83</v>
      </c>
      <c r="I810" s="2" t="s">
        <v>83</v>
      </c>
      <c r="J810" s="2" t="s">
        <v>13</v>
      </c>
      <c r="K810" s="2" t="s">
        <v>21</v>
      </c>
      <c r="L810" s="2">
        <v>4</v>
      </c>
      <c r="M810" s="2">
        <v>25394</v>
      </c>
      <c r="N810" s="2">
        <v>0</v>
      </c>
      <c r="O810" s="2">
        <v>101576</v>
      </c>
      <c r="P810" s="6">
        <v>9341.9500000000007</v>
      </c>
    </row>
    <row r="811" spans="1:16" x14ac:dyDescent="0.3">
      <c r="A811" s="5" t="s">
        <v>1306</v>
      </c>
      <c r="B811" s="2" t="s">
        <v>260</v>
      </c>
      <c r="C811" s="2" t="str">
        <f t="shared" si="12"/>
        <v>May</v>
      </c>
      <c r="D811" s="2" t="s">
        <v>5</v>
      </c>
      <c r="E811" s="2" t="s">
        <v>52</v>
      </c>
      <c r="F811" s="2" t="s">
        <v>53</v>
      </c>
      <c r="G811" s="2" t="s">
        <v>8</v>
      </c>
      <c r="H811" s="2" t="s">
        <v>64</v>
      </c>
      <c r="I811" s="2" t="s">
        <v>64</v>
      </c>
      <c r="J811" s="2" t="s">
        <v>19</v>
      </c>
      <c r="K811" s="2" t="s">
        <v>22</v>
      </c>
      <c r="L811" s="2">
        <v>2</v>
      </c>
      <c r="M811" s="2">
        <v>34741</v>
      </c>
      <c r="N811" s="2">
        <v>5</v>
      </c>
      <c r="O811" s="2">
        <v>66007.899999999994</v>
      </c>
      <c r="P811" s="6">
        <v>13876.65</v>
      </c>
    </row>
    <row r="812" spans="1:16" x14ac:dyDescent="0.3">
      <c r="A812" s="5" t="s">
        <v>1307</v>
      </c>
      <c r="B812" s="2" t="s">
        <v>1308</v>
      </c>
      <c r="C812" s="2" t="str">
        <f t="shared" si="12"/>
        <v>May</v>
      </c>
      <c r="D812" s="2" t="s">
        <v>5</v>
      </c>
      <c r="E812" s="2" t="s">
        <v>57</v>
      </c>
      <c r="F812" s="2" t="s">
        <v>58</v>
      </c>
      <c r="G812" s="2" t="s">
        <v>9</v>
      </c>
      <c r="H812" s="2" t="s">
        <v>126</v>
      </c>
      <c r="I812" s="2" t="s">
        <v>126</v>
      </c>
      <c r="J812" s="2" t="s">
        <v>14</v>
      </c>
      <c r="K812" s="2" t="s">
        <v>21</v>
      </c>
      <c r="L812" s="2">
        <v>10</v>
      </c>
      <c r="M812" s="2">
        <v>5676</v>
      </c>
      <c r="N812" s="2">
        <v>0</v>
      </c>
      <c r="O812" s="2">
        <v>56760</v>
      </c>
      <c r="P812" s="6">
        <v>7481.3</v>
      </c>
    </row>
    <row r="813" spans="1:16" x14ac:dyDescent="0.3">
      <c r="A813" s="5" t="s">
        <v>1309</v>
      </c>
      <c r="B813" s="2" t="s">
        <v>287</v>
      </c>
      <c r="C813" s="2" t="str">
        <f t="shared" si="12"/>
        <v>November</v>
      </c>
      <c r="D813" s="2" t="s">
        <v>2</v>
      </c>
      <c r="E813" s="2" t="s">
        <v>81</v>
      </c>
      <c r="F813" s="2" t="s">
        <v>82</v>
      </c>
      <c r="G813" s="2" t="s">
        <v>8</v>
      </c>
      <c r="H813" s="2" t="s">
        <v>64</v>
      </c>
      <c r="I813" s="2" t="s">
        <v>64</v>
      </c>
      <c r="J813" s="2" t="s">
        <v>17</v>
      </c>
      <c r="K813" s="2" t="s">
        <v>21</v>
      </c>
      <c r="L813" s="2">
        <v>9</v>
      </c>
      <c r="M813" s="2">
        <v>35494</v>
      </c>
      <c r="N813" s="2">
        <v>10</v>
      </c>
      <c r="O813" s="2">
        <v>287501.40000000002</v>
      </c>
      <c r="P813" s="6">
        <v>55008.79</v>
      </c>
    </row>
    <row r="814" spans="1:16" x14ac:dyDescent="0.3">
      <c r="A814" s="5" t="s">
        <v>1310</v>
      </c>
      <c r="B814" s="2" t="s">
        <v>628</v>
      </c>
      <c r="C814" s="2" t="str">
        <f t="shared" si="12"/>
        <v>August</v>
      </c>
      <c r="D814" s="2" t="s">
        <v>3</v>
      </c>
      <c r="E814" s="2" t="s">
        <v>117</v>
      </c>
      <c r="F814" s="2" t="s">
        <v>117</v>
      </c>
      <c r="G814" s="2" t="s">
        <v>8</v>
      </c>
      <c r="H814" s="2" t="s">
        <v>64</v>
      </c>
      <c r="I814" s="2" t="s">
        <v>64</v>
      </c>
      <c r="J814" s="2" t="s">
        <v>13</v>
      </c>
      <c r="K814" s="2" t="s">
        <v>21</v>
      </c>
      <c r="L814" s="2">
        <v>2</v>
      </c>
      <c r="M814" s="2">
        <v>36533</v>
      </c>
      <c r="N814" s="2">
        <v>15</v>
      </c>
      <c r="O814" s="2">
        <v>62106.1</v>
      </c>
      <c r="P814" s="6">
        <v>14071.46</v>
      </c>
    </row>
    <row r="815" spans="1:16" x14ac:dyDescent="0.3">
      <c r="A815" s="5" t="s">
        <v>1311</v>
      </c>
      <c r="B815" s="2" t="s">
        <v>128</v>
      </c>
      <c r="C815" s="2" t="str">
        <f t="shared" si="12"/>
        <v>December</v>
      </c>
      <c r="D815" s="2" t="s">
        <v>3</v>
      </c>
      <c r="E815" s="2" t="s">
        <v>75</v>
      </c>
      <c r="F815" s="2" t="s">
        <v>75</v>
      </c>
      <c r="G815" s="2" t="s">
        <v>10</v>
      </c>
      <c r="H815" s="2" t="s">
        <v>83</v>
      </c>
      <c r="I815" s="2" t="s">
        <v>83</v>
      </c>
      <c r="J815" s="2" t="s">
        <v>16</v>
      </c>
      <c r="K815" s="2" t="s">
        <v>21</v>
      </c>
      <c r="L815" s="2">
        <v>5</v>
      </c>
      <c r="M815" s="2">
        <v>47903</v>
      </c>
      <c r="N815" s="2">
        <v>15</v>
      </c>
      <c r="O815" s="2">
        <v>203587.75</v>
      </c>
      <c r="P815" s="6">
        <v>23616.65</v>
      </c>
    </row>
    <row r="816" spans="1:16" x14ac:dyDescent="0.3">
      <c r="A816" s="5" t="s">
        <v>1312</v>
      </c>
      <c r="B816" s="2" t="s">
        <v>1313</v>
      </c>
      <c r="C816" s="2" t="str">
        <f t="shared" si="12"/>
        <v>February</v>
      </c>
      <c r="D816" s="2" t="s">
        <v>2</v>
      </c>
      <c r="E816" s="2" t="s">
        <v>103</v>
      </c>
      <c r="F816" s="2" t="s">
        <v>104</v>
      </c>
      <c r="G816" s="2" t="s">
        <v>8</v>
      </c>
      <c r="H816" s="2" t="s">
        <v>133</v>
      </c>
      <c r="I816" s="2" t="s">
        <v>133</v>
      </c>
      <c r="J816" s="2" t="s">
        <v>14</v>
      </c>
      <c r="K816" s="2" t="s">
        <v>21</v>
      </c>
      <c r="L816" s="2">
        <v>6</v>
      </c>
      <c r="M816" s="2">
        <v>18194</v>
      </c>
      <c r="N816" s="2">
        <v>5</v>
      </c>
      <c r="O816" s="2">
        <v>103705.8</v>
      </c>
      <c r="P816" s="6">
        <v>25696.1</v>
      </c>
    </row>
    <row r="817" spans="1:16" x14ac:dyDescent="0.3">
      <c r="A817" s="5" t="s">
        <v>1314</v>
      </c>
      <c r="B817" s="2" t="s">
        <v>190</v>
      </c>
      <c r="C817" s="2" t="str">
        <f t="shared" si="12"/>
        <v>October</v>
      </c>
      <c r="D817" s="2" t="s">
        <v>2</v>
      </c>
      <c r="E817" s="2" t="s">
        <v>81</v>
      </c>
      <c r="F817" s="2" t="s">
        <v>82</v>
      </c>
      <c r="G817" s="2" t="s">
        <v>9</v>
      </c>
      <c r="H817" s="2" t="s">
        <v>90</v>
      </c>
      <c r="I817" s="2" t="s">
        <v>90</v>
      </c>
      <c r="J817" s="2" t="s">
        <v>15</v>
      </c>
      <c r="K817" s="2" t="s">
        <v>21</v>
      </c>
      <c r="L817" s="2">
        <v>8</v>
      </c>
      <c r="M817" s="2">
        <v>10406</v>
      </c>
      <c r="N817" s="2">
        <v>10</v>
      </c>
      <c r="O817" s="2">
        <v>74923.199999999997</v>
      </c>
      <c r="P817" s="6">
        <v>17454.11</v>
      </c>
    </row>
    <row r="818" spans="1:16" x14ac:dyDescent="0.3">
      <c r="A818" s="5" t="s">
        <v>1315</v>
      </c>
      <c r="B818" s="2" t="s">
        <v>275</v>
      </c>
      <c r="C818" s="2" t="str">
        <f t="shared" si="12"/>
        <v>May</v>
      </c>
      <c r="D818" s="2" t="s">
        <v>2</v>
      </c>
      <c r="E818" s="2" t="s">
        <v>103</v>
      </c>
      <c r="F818" s="2" t="s">
        <v>104</v>
      </c>
      <c r="G818" s="2" t="s">
        <v>10</v>
      </c>
      <c r="H818" s="2" t="s">
        <v>69</v>
      </c>
      <c r="I818" s="2" t="s">
        <v>69</v>
      </c>
      <c r="J818" s="2" t="s">
        <v>17</v>
      </c>
      <c r="K818" s="2" t="s">
        <v>21</v>
      </c>
      <c r="L818" s="2">
        <v>4</v>
      </c>
      <c r="M818" s="2">
        <v>19158</v>
      </c>
      <c r="N818" s="2">
        <v>15</v>
      </c>
      <c r="O818" s="2">
        <v>65137.2</v>
      </c>
      <c r="P818" s="6">
        <v>5038.79</v>
      </c>
    </row>
    <row r="819" spans="1:16" x14ac:dyDescent="0.3">
      <c r="A819" s="5" t="s">
        <v>1316</v>
      </c>
      <c r="B819" s="2" t="s">
        <v>603</v>
      </c>
      <c r="C819" s="2" t="str">
        <f t="shared" si="12"/>
        <v>April</v>
      </c>
      <c r="D819" s="2" t="s">
        <v>5</v>
      </c>
      <c r="E819" s="2" t="s">
        <v>52</v>
      </c>
      <c r="F819" s="2" t="s">
        <v>53</v>
      </c>
      <c r="G819" s="2" t="s">
        <v>8</v>
      </c>
      <c r="H819" s="2" t="s">
        <v>93</v>
      </c>
      <c r="I819" s="2" t="s">
        <v>93</v>
      </c>
      <c r="J819" s="2" t="s">
        <v>17</v>
      </c>
      <c r="K819" s="2" t="s">
        <v>21</v>
      </c>
      <c r="L819" s="2">
        <v>10</v>
      </c>
      <c r="M819" s="2">
        <v>4206</v>
      </c>
      <c r="N819" s="2">
        <v>20</v>
      </c>
      <c r="O819" s="2">
        <v>33648</v>
      </c>
      <c r="P819" s="6">
        <v>5392.23</v>
      </c>
    </row>
    <row r="820" spans="1:16" x14ac:dyDescent="0.3">
      <c r="A820" s="5" t="s">
        <v>1317</v>
      </c>
      <c r="B820" s="2" t="s">
        <v>410</v>
      </c>
      <c r="C820" s="2" t="str">
        <f t="shared" si="12"/>
        <v>February</v>
      </c>
      <c r="D820" s="2" t="s">
        <v>3</v>
      </c>
      <c r="E820" s="2" t="s">
        <v>75</v>
      </c>
      <c r="F820" s="2" t="s">
        <v>75</v>
      </c>
      <c r="G820" s="2" t="s">
        <v>8</v>
      </c>
      <c r="H820" s="2" t="s">
        <v>93</v>
      </c>
      <c r="I820" s="2" t="s">
        <v>93</v>
      </c>
      <c r="J820" s="2" t="s">
        <v>18</v>
      </c>
      <c r="K820" s="2" t="s">
        <v>22</v>
      </c>
      <c r="L820" s="2">
        <v>4</v>
      </c>
      <c r="M820" s="2">
        <v>26228</v>
      </c>
      <c r="N820" s="2">
        <v>20</v>
      </c>
      <c r="O820" s="2">
        <v>83929.600000000006</v>
      </c>
      <c r="P820" s="6">
        <v>23569.8</v>
      </c>
    </row>
    <row r="821" spans="1:16" x14ac:dyDescent="0.3">
      <c r="A821" s="5" t="s">
        <v>1318</v>
      </c>
      <c r="B821" s="2" t="s">
        <v>226</v>
      </c>
      <c r="C821" s="2" t="str">
        <f t="shared" si="12"/>
        <v>November</v>
      </c>
      <c r="D821" s="2" t="s">
        <v>5</v>
      </c>
      <c r="E821" s="2" t="s">
        <v>52</v>
      </c>
      <c r="F821" s="2" t="s">
        <v>53</v>
      </c>
      <c r="G821" s="2" t="s">
        <v>8</v>
      </c>
      <c r="H821" s="2" t="s">
        <v>64</v>
      </c>
      <c r="I821" s="2" t="s">
        <v>64</v>
      </c>
      <c r="J821" s="2" t="s">
        <v>15</v>
      </c>
      <c r="K821" s="2" t="s">
        <v>21</v>
      </c>
      <c r="L821" s="2">
        <v>4</v>
      </c>
      <c r="M821" s="2">
        <v>47378</v>
      </c>
      <c r="N821" s="2">
        <v>10</v>
      </c>
      <c r="O821" s="2">
        <v>170560.8</v>
      </c>
      <c r="P821" s="6">
        <v>49417.13</v>
      </c>
    </row>
    <row r="822" spans="1:16" x14ac:dyDescent="0.3">
      <c r="A822" s="5" t="s">
        <v>1319</v>
      </c>
      <c r="B822" s="2" t="s">
        <v>1320</v>
      </c>
      <c r="C822" s="2" t="str">
        <f t="shared" si="12"/>
        <v>November</v>
      </c>
      <c r="D822" s="2" t="s">
        <v>2</v>
      </c>
      <c r="E822" s="2" t="s">
        <v>81</v>
      </c>
      <c r="F822" s="2" t="s">
        <v>82</v>
      </c>
      <c r="G822" s="2" t="s">
        <v>8</v>
      </c>
      <c r="H822" s="2" t="s">
        <v>133</v>
      </c>
      <c r="I822" s="2" t="s">
        <v>133</v>
      </c>
      <c r="J822" s="2" t="s">
        <v>12</v>
      </c>
      <c r="K822" s="2" t="s">
        <v>22</v>
      </c>
      <c r="L822" s="2">
        <v>5</v>
      </c>
      <c r="M822" s="2">
        <v>49191</v>
      </c>
      <c r="N822" s="2">
        <v>15</v>
      </c>
      <c r="O822" s="2">
        <v>209061.75</v>
      </c>
      <c r="P822" s="6">
        <v>15235.61</v>
      </c>
    </row>
    <row r="823" spans="1:16" x14ac:dyDescent="0.3">
      <c r="A823" s="5" t="s">
        <v>1321</v>
      </c>
      <c r="B823" s="2" t="s">
        <v>391</v>
      </c>
      <c r="C823" s="2" t="str">
        <f t="shared" si="12"/>
        <v>March</v>
      </c>
      <c r="D823" s="2" t="s">
        <v>3</v>
      </c>
      <c r="E823" s="2" t="s">
        <v>117</v>
      </c>
      <c r="F823" s="2" t="s">
        <v>117</v>
      </c>
      <c r="G823" s="2" t="s">
        <v>10</v>
      </c>
      <c r="H823" s="2" t="s">
        <v>69</v>
      </c>
      <c r="I823" s="2" t="s">
        <v>69</v>
      </c>
      <c r="J823" s="2" t="s">
        <v>12</v>
      </c>
      <c r="K823" s="2" t="s">
        <v>21</v>
      </c>
      <c r="L823" s="2">
        <v>1</v>
      </c>
      <c r="M823" s="2">
        <v>24774</v>
      </c>
      <c r="N823" s="2">
        <v>10</v>
      </c>
      <c r="O823" s="2">
        <v>22296.6</v>
      </c>
      <c r="P823" s="6">
        <v>4019.27</v>
      </c>
    </row>
    <row r="824" spans="1:16" x14ac:dyDescent="0.3">
      <c r="A824" s="5" t="s">
        <v>1322</v>
      </c>
      <c r="B824" s="2" t="s">
        <v>447</v>
      </c>
      <c r="C824" s="2" t="str">
        <f t="shared" si="12"/>
        <v>September</v>
      </c>
      <c r="D824" s="2" t="s">
        <v>3</v>
      </c>
      <c r="E824" s="2" t="s">
        <v>117</v>
      </c>
      <c r="F824" s="2" t="s">
        <v>117</v>
      </c>
      <c r="G824" s="2" t="s">
        <v>8</v>
      </c>
      <c r="H824" s="2" t="s">
        <v>133</v>
      </c>
      <c r="I824" s="2" t="s">
        <v>133</v>
      </c>
      <c r="J824" s="2" t="s">
        <v>19</v>
      </c>
      <c r="K824" s="2" t="s">
        <v>22</v>
      </c>
      <c r="L824" s="2">
        <v>4</v>
      </c>
      <c r="M824" s="2">
        <v>7216</v>
      </c>
      <c r="N824" s="2">
        <v>15</v>
      </c>
      <c r="O824" s="2">
        <v>24534.400000000001</v>
      </c>
      <c r="P824" s="6">
        <v>5934.01</v>
      </c>
    </row>
    <row r="825" spans="1:16" x14ac:dyDescent="0.3">
      <c r="A825" s="5" t="s">
        <v>1323</v>
      </c>
      <c r="B825" s="2" t="s">
        <v>835</v>
      </c>
      <c r="C825" s="2" t="str">
        <f t="shared" si="12"/>
        <v>October</v>
      </c>
      <c r="D825" s="2" t="s">
        <v>5</v>
      </c>
      <c r="E825" s="2" t="s">
        <v>52</v>
      </c>
      <c r="F825" s="2" t="s">
        <v>53</v>
      </c>
      <c r="G825" s="2" t="s">
        <v>9</v>
      </c>
      <c r="H825" s="2" t="s">
        <v>126</v>
      </c>
      <c r="I825" s="2" t="s">
        <v>126</v>
      </c>
      <c r="J825" s="2" t="s">
        <v>12</v>
      </c>
      <c r="K825" s="2" t="s">
        <v>21</v>
      </c>
      <c r="L825" s="2">
        <v>6</v>
      </c>
      <c r="M825" s="2">
        <v>42324</v>
      </c>
      <c r="N825" s="2">
        <v>15</v>
      </c>
      <c r="O825" s="2">
        <v>215852.4</v>
      </c>
      <c r="P825" s="6">
        <v>55293.52</v>
      </c>
    </row>
    <row r="826" spans="1:16" x14ac:dyDescent="0.3">
      <c r="A826" s="5" t="s">
        <v>1324</v>
      </c>
      <c r="B826" s="2" t="s">
        <v>767</v>
      </c>
      <c r="C826" s="2" t="str">
        <f t="shared" si="12"/>
        <v>April</v>
      </c>
      <c r="D826" s="2" t="s">
        <v>4</v>
      </c>
      <c r="E826" s="2" t="s">
        <v>67</v>
      </c>
      <c r="F826" s="2" t="s">
        <v>68</v>
      </c>
      <c r="G826" s="2" t="s">
        <v>9</v>
      </c>
      <c r="H826" s="2" t="s">
        <v>126</v>
      </c>
      <c r="I826" s="2" t="s">
        <v>126</v>
      </c>
      <c r="J826" s="2" t="s">
        <v>12</v>
      </c>
      <c r="K826" s="2" t="s">
        <v>22</v>
      </c>
      <c r="L826" s="2">
        <v>2</v>
      </c>
      <c r="M826" s="2">
        <v>14008</v>
      </c>
      <c r="N826" s="2">
        <v>15</v>
      </c>
      <c r="O826" s="2">
        <v>23813.599999999999</v>
      </c>
      <c r="P826" s="6">
        <v>4111.6000000000004</v>
      </c>
    </row>
    <row r="827" spans="1:16" x14ac:dyDescent="0.3">
      <c r="A827" s="5" t="s">
        <v>1325</v>
      </c>
      <c r="B827" s="2" t="s">
        <v>194</v>
      </c>
      <c r="C827" s="2" t="str">
        <f t="shared" si="12"/>
        <v>February</v>
      </c>
      <c r="D827" s="2" t="s">
        <v>2</v>
      </c>
      <c r="E827" s="2" t="s">
        <v>103</v>
      </c>
      <c r="F827" s="2" t="s">
        <v>104</v>
      </c>
      <c r="G827" s="2" t="s">
        <v>10</v>
      </c>
      <c r="H827" s="2" t="s">
        <v>100</v>
      </c>
      <c r="I827" s="2" t="s">
        <v>100</v>
      </c>
      <c r="J827" s="2" t="s">
        <v>17</v>
      </c>
      <c r="K827" s="2" t="s">
        <v>22</v>
      </c>
      <c r="L827" s="2">
        <v>2</v>
      </c>
      <c r="M827" s="2">
        <v>3016</v>
      </c>
      <c r="N827" s="2">
        <v>15</v>
      </c>
      <c r="O827" s="2">
        <v>5127.2</v>
      </c>
      <c r="P827" s="6">
        <v>1016.11</v>
      </c>
    </row>
    <row r="828" spans="1:16" x14ac:dyDescent="0.3">
      <c r="A828" s="5" t="s">
        <v>1326</v>
      </c>
      <c r="B828" s="2" t="s">
        <v>1327</v>
      </c>
      <c r="C828" s="2" t="str">
        <f t="shared" si="12"/>
        <v>April</v>
      </c>
      <c r="D828" s="2" t="s">
        <v>3</v>
      </c>
      <c r="E828" s="2" t="s">
        <v>117</v>
      </c>
      <c r="F828" s="2" t="s">
        <v>117</v>
      </c>
      <c r="G828" s="2" t="s">
        <v>9</v>
      </c>
      <c r="H828" s="2" t="s">
        <v>59</v>
      </c>
      <c r="I828" s="2" t="s">
        <v>59</v>
      </c>
      <c r="J828" s="2" t="s">
        <v>12</v>
      </c>
      <c r="K828" s="2" t="s">
        <v>21</v>
      </c>
      <c r="L828" s="2">
        <v>1</v>
      </c>
      <c r="M828" s="2">
        <v>41470</v>
      </c>
      <c r="N828" s="2">
        <v>10</v>
      </c>
      <c r="O828" s="2">
        <v>37323</v>
      </c>
      <c r="P828" s="6">
        <v>7649.84</v>
      </c>
    </row>
    <row r="829" spans="1:16" x14ac:dyDescent="0.3">
      <c r="A829" s="5" t="s">
        <v>1328</v>
      </c>
      <c r="B829" s="2" t="s">
        <v>512</v>
      </c>
      <c r="C829" s="2" t="str">
        <f t="shared" si="12"/>
        <v>December</v>
      </c>
      <c r="D829" s="2" t="s">
        <v>4</v>
      </c>
      <c r="E829" s="2" t="s">
        <v>67</v>
      </c>
      <c r="F829" s="2" t="s">
        <v>68</v>
      </c>
      <c r="G829" s="2" t="s">
        <v>8</v>
      </c>
      <c r="H829" s="2" t="s">
        <v>93</v>
      </c>
      <c r="I829" s="2" t="s">
        <v>93</v>
      </c>
      <c r="J829" s="2" t="s">
        <v>16</v>
      </c>
      <c r="K829" s="2" t="s">
        <v>22</v>
      </c>
      <c r="L829" s="2">
        <v>3</v>
      </c>
      <c r="M829" s="2">
        <v>17988</v>
      </c>
      <c r="N829" s="2">
        <v>0</v>
      </c>
      <c r="O829" s="2">
        <v>53964</v>
      </c>
      <c r="P829" s="6">
        <v>10961.29</v>
      </c>
    </row>
    <row r="830" spans="1:16" x14ac:dyDescent="0.3">
      <c r="A830" s="5" t="s">
        <v>1329</v>
      </c>
      <c r="B830" s="2" t="s">
        <v>483</v>
      </c>
      <c r="C830" s="2" t="str">
        <f t="shared" si="12"/>
        <v>September</v>
      </c>
      <c r="D830" s="2" t="s">
        <v>5</v>
      </c>
      <c r="E830" s="2" t="s">
        <v>52</v>
      </c>
      <c r="F830" s="2" t="s">
        <v>53</v>
      </c>
      <c r="G830" s="2" t="s">
        <v>10</v>
      </c>
      <c r="H830" s="2" t="s">
        <v>54</v>
      </c>
      <c r="I830" s="2" t="s">
        <v>54</v>
      </c>
      <c r="J830" s="2" t="s">
        <v>16</v>
      </c>
      <c r="K830" s="2" t="s">
        <v>21</v>
      </c>
      <c r="L830" s="2">
        <v>1</v>
      </c>
      <c r="M830" s="2">
        <v>40004</v>
      </c>
      <c r="N830" s="2">
        <v>5</v>
      </c>
      <c r="O830" s="2">
        <v>38003.800000000003</v>
      </c>
      <c r="P830" s="6">
        <v>8251.57</v>
      </c>
    </row>
    <row r="831" spans="1:16" x14ac:dyDescent="0.3">
      <c r="A831" s="5" t="s">
        <v>1330</v>
      </c>
      <c r="B831" s="2" t="s">
        <v>1067</v>
      </c>
      <c r="C831" s="2" t="str">
        <f t="shared" si="12"/>
        <v>January</v>
      </c>
      <c r="D831" s="2" t="s">
        <v>2</v>
      </c>
      <c r="E831" s="2" t="s">
        <v>103</v>
      </c>
      <c r="F831" s="2" t="s">
        <v>104</v>
      </c>
      <c r="G831" s="2" t="s">
        <v>9</v>
      </c>
      <c r="H831" s="2" t="s">
        <v>126</v>
      </c>
      <c r="I831" s="2" t="s">
        <v>126</v>
      </c>
      <c r="J831" s="2" t="s">
        <v>12</v>
      </c>
      <c r="K831" s="2" t="s">
        <v>22</v>
      </c>
      <c r="L831" s="2">
        <v>9</v>
      </c>
      <c r="M831" s="2">
        <v>14777</v>
      </c>
      <c r="N831" s="2">
        <v>10</v>
      </c>
      <c r="O831" s="2">
        <v>119693.7</v>
      </c>
      <c r="P831" s="6">
        <v>28247.18</v>
      </c>
    </row>
    <row r="832" spans="1:16" x14ac:dyDescent="0.3">
      <c r="A832" s="5" t="s">
        <v>1331</v>
      </c>
      <c r="B832" s="2" t="s">
        <v>152</v>
      </c>
      <c r="C832" s="2" t="str">
        <f t="shared" si="12"/>
        <v>January</v>
      </c>
      <c r="D832" s="2" t="s">
        <v>4</v>
      </c>
      <c r="E832" s="2" t="s">
        <v>67</v>
      </c>
      <c r="F832" s="2" t="s">
        <v>68</v>
      </c>
      <c r="G832" s="2" t="s">
        <v>8</v>
      </c>
      <c r="H832" s="2" t="s">
        <v>64</v>
      </c>
      <c r="I832" s="2" t="s">
        <v>64</v>
      </c>
      <c r="J832" s="2" t="s">
        <v>15</v>
      </c>
      <c r="K832" s="2" t="s">
        <v>21</v>
      </c>
      <c r="L832" s="2">
        <v>10</v>
      </c>
      <c r="M832" s="2">
        <v>2074</v>
      </c>
      <c r="N832" s="2">
        <v>15</v>
      </c>
      <c r="O832" s="2">
        <v>17629</v>
      </c>
      <c r="P832" s="6">
        <v>3855.8</v>
      </c>
    </row>
    <row r="833" spans="1:16" x14ac:dyDescent="0.3">
      <c r="A833" s="5" t="s">
        <v>1332</v>
      </c>
      <c r="B833" s="2" t="s">
        <v>736</v>
      </c>
      <c r="C833" s="2" t="str">
        <f t="shared" si="12"/>
        <v>September</v>
      </c>
      <c r="D833" s="2" t="s">
        <v>2</v>
      </c>
      <c r="E833" s="2" t="s">
        <v>103</v>
      </c>
      <c r="F833" s="2" t="s">
        <v>104</v>
      </c>
      <c r="G833" s="2" t="s">
        <v>9</v>
      </c>
      <c r="H833" s="2" t="s">
        <v>59</v>
      </c>
      <c r="I833" s="2" t="s">
        <v>59</v>
      </c>
      <c r="J833" s="2" t="s">
        <v>16</v>
      </c>
      <c r="K833" s="2" t="s">
        <v>22</v>
      </c>
      <c r="L833" s="2">
        <v>9</v>
      </c>
      <c r="M833" s="2">
        <v>38019</v>
      </c>
      <c r="N833" s="2">
        <v>5</v>
      </c>
      <c r="O833" s="2">
        <v>325062.45</v>
      </c>
      <c r="P833" s="6">
        <v>95119.07</v>
      </c>
    </row>
    <row r="834" spans="1:16" x14ac:dyDescent="0.3">
      <c r="A834" s="5" t="s">
        <v>1333</v>
      </c>
      <c r="B834" s="2" t="s">
        <v>190</v>
      </c>
      <c r="C834" s="2" t="str">
        <f t="shared" si="12"/>
        <v>October</v>
      </c>
      <c r="D834" s="2" t="s">
        <v>4</v>
      </c>
      <c r="E834" s="2" t="s">
        <v>62</v>
      </c>
      <c r="F834" s="2" t="s">
        <v>63</v>
      </c>
      <c r="G834" s="2" t="s">
        <v>9</v>
      </c>
      <c r="H834" s="2" t="s">
        <v>72</v>
      </c>
      <c r="I834" s="2" t="s">
        <v>72</v>
      </c>
      <c r="J834" s="2" t="s">
        <v>14</v>
      </c>
      <c r="K834" s="2" t="s">
        <v>21</v>
      </c>
      <c r="L834" s="2">
        <v>10</v>
      </c>
      <c r="M834" s="2">
        <v>15062</v>
      </c>
      <c r="N834" s="2">
        <v>5</v>
      </c>
      <c r="O834" s="2">
        <v>143089</v>
      </c>
      <c r="P834" s="6">
        <v>16422.740000000002</v>
      </c>
    </row>
    <row r="835" spans="1:16" x14ac:dyDescent="0.3">
      <c r="A835" s="5" t="s">
        <v>1334</v>
      </c>
      <c r="B835" s="2" t="s">
        <v>275</v>
      </c>
      <c r="C835" s="2" t="str">
        <f t="shared" ref="C835:C898" si="13">TEXT(B835,"mmmm")</f>
        <v>May</v>
      </c>
      <c r="D835" s="2" t="s">
        <v>5</v>
      </c>
      <c r="E835" s="2" t="s">
        <v>52</v>
      </c>
      <c r="F835" s="2" t="s">
        <v>53</v>
      </c>
      <c r="G835" s="2" t="s">
        <v>8</v>
      </c>
      <c r="H835" s="2" t="s">
        <v>93</v>
      </c>
      <c r="I835" s="2" t="s">
        <v>93</v>
      </c>
      <c r="J835" s="2" t="s">
        <v>19</v>
      </c>
      <c r="K835" s="2" t="s">
        <v>22</v>
      </c>
      <c r="L835" s="2">
        <v>8</v>
      </c>
      <c r="M835" s="2">
        <v>10929</v>
      </c>
      <c r="N835" s="2">
        <v>0</v>
      </c>
      <c r="O835" s="2">
        <v>87432</v>
      </c>
      <c r="P835" s="6">
        <v>5560.78</v>
      </c>
    </row>
    <row r="836" spans="1:16" x14ac:dyDescent="0.3">
      <c r="A836" s="5" t="s">
        <v>1335</v>
      </c>
      <c r="B836" s="2" t="s">
        <v>636</v>
      </c>
      <c r="C836" s="2" t="str">
        <f t="shared" si="13"/>
        <v>May</v>
      </c>
      <c r="D836" s="2" t="s">
        <v>3</v>
      </c>
      <c r="E836" s="2" t="s">
        <v>75</v>
      </c>
      <c r="F836" s="2" t="s">
        <v>75</v>
      </c>
      <c r="G836" s="2" t="s">
        <v>10</v>
      </c>
      <c r="H836" s="2" t="s">
        <v>83</v>
      </c>
      <c r="I836" s="2" t="s">
        <v>83</v>
      </c>
      <c r="J836" s="2" t="s">
        <v>15</v>
      </c>
      <c r="K836" s="2" t="s">
        <v>21</v>
      </c>
      <c r="L836" s="2">
        <v>10</v>
      </c>
      <c r="M836" s="2">
        <v>8182</v>
      </c>
      <c r="N836" s="2">
        <v>10</v>
      </c>
      <c r="O836" s="2">
        <v>73638</v>
      </c>
      <c r="P836" s="6">
        <v>6386.9</v>
      </c>
    </row>
    <row r="837" spans="1:16" x14ac:dyDescent="0.3">
      <c r="A837" s="5" t="s">
        <v>1336</v>
      </c>
      <c r="B837" s="2" t="s">
        <v>322</v>
      </c>
      <c r="C837" s="2" t="str">
        <f t="shared" si="13"/>
        <v>January</v>
      </c>
      <c r="D837" s="2" t="s">
        <v>3</v>
      </c>
      <c r="E837" s="2" t="s">
        <v>75</v>
      </c>
      <c r="F837" s="2" t="s">
        <v>75</v>
      </c>
      <c r="G837" s="2" t="s">
        <v>10</v>
      </c>
      <c r="H837" s="2" t="s">
        <v>69</v>
      </c>
      <c r="I837" s="2" t="s">
        <v>69</v>
      </c>
      <c r="J837" s="2" t="s">
        <v>15</v>
      </c>
      <c r="K837" s="2" t="s">
        <v>21</v>
      </c>
      <c r="L837" s="2">
        <v>3</v>
      </c>
      <c r="M837" s="2">
        <v>24006</v>
      </c>
      <c r="N837" s="2">
        <v>20</v>
      </c>
      <c r="O837" s="2">
        <v>57614.400000000001</v>
      </c>
      <c r="P837" s="6">
        <v>7443.42</v>
      </c>
    </row>
    <row r="838" spans="1:16" x14ac:dyDescent="0.3">
      <c r="A838" s="5" t="s">
        <v>1337</v>
      </c>
      <c r="B838" s="2" t="s">
        <v>238</v>
      </c>
      <c r="C838" s="2" t="str">
        <f t="shared" si="13"/>
        <v>December</v>
      </c>
      <c r="D838" s="2" t="s">
        <v>3</v>
      </c>
      <c r="E838" s="2" t="s">
        <v>75</v>
      </c>
      <c r="F838" s="2" t="s">
        <v>75</v>
      </c>
      <c r="G838" s="2" t="s">
        <v>8</v>
      </c>
      <c r="H838" s="2" t="s">
        <v>133</v>
      </c>
      <c r="I838" s="2" t="s">
        <v>133</v>
      </c>
      <c r="J838" s="2" t="s">
        <v>12</v>
      </c>
      <c r="K838" s="2" t="s">
        <v>21</v>
      </c>
      <c r="L838" s="2">
        <v>6</v>
      </c>
      <c r="M838" s="2">
        <v>8374</v>
      </c>
      <c r="N838" s="2">
        <v>0</v>
      </c>
      <c r="O838" s="2">
        <v>50244</v>
      </c>
      <c r="P838" s="6">
        <v>11323.37</v>
      </c>
    </row>
    <row r="839" spans="1:16" x14ac:dyDescent="0.3">
      <c r="A839" s="5" t="s">
        <v>1338</v>
      </c>
      <c r="B839" s="2" t="s">
        <v>617</v>
      </c>
      <c r="C839" s="2" t="str">
        <f t="shared" si="13"/>
        <v>March</v>
      </c>
      <c r="D839" s="2" t="s">
        <v>4</v>
      </c>
      <c r="E839" s="2" t="s">
        <v>67</v>
      </c>
      <c r="F839" s="2" t="s">
        <v>68</v>
      </c>
      <c r="G839" s="2" t="s">
        <v>10</v>
      </c>
      <c r="H839" s="2" t="s">
        <v>83</v>
      </c>
      <c r="I839" s="2" t="s">
        <v>83</v>
      </c>
      <c r="J839" s="2" t="s">
        <v>13</v>
      </c>
      <c r="K839" s="2" t="s">
        <v>21</v>
      </c>
      <c r="L839" s="2">
        <v>6</v>
      </c>
      <c r="M839" s="2">
        <v>9105</v>
      </c>
      <c r="N839" s="2">
        <v>10</v>
      </c>
      <c r="O839" s="2">
        <v>49167</v>
      </c>
      <c r="P839" s="6">
        <v>11038.82</v>
      </c>
    </row>
    <row r="840" spans="1:16" x14ac:dyDescent="0.3">
      <c r="A840" s="5" t="s">
        <v>1339</v>
      </c>
      <c r="B840" s="2" t="s">
        <v>965</v>
      </c>
      <c r="C840" s="2" t="str">
        <f t="shared" si="13"/>
        <v>March</v>
      </c>
      <c r="D840" s="2" t="s">
        <v>2</v>
      </c>
      <c r="E840" s="2" t="s">
        <v>103</v>
      </c>
      <c r="F840" s="2" t="s">
        <v>104</v>
      </c>
      <c r="G840" s="2" t="s">
        <v>8</v>
      </c>
      <c r="H840" s="2" t="s">
        <v>76</v>
      </c>
      <c r="I840" s="2" t="s">
        <v>76</v>
      </c>
      <c r="J840" s="2" t="s">
        <v>15</v>
      </c>
      <c r="K840" s="2" t="s">
        <v>21</v>
      </c>
      <c r="L840" s="2">
        <v>6</v>
      </c>
      <c r="M840" s="2">
        <v>17809</v>
      </c>
      <c r="N840" s="2">
        <v>5</v>
      </c>
      <c r="O840" s="2">
        <v>101511.3</v>
      </c>
      <c r="P840" s="6">
        <v>14029.16</v>
      </c>
    </row>
    <row r="841" spans="1:16" x14ac:dyDescent="0.3">
      <c r="A841" s="5" t="s">
        <v>1340</v>
      </c>
      <c r="B841" s="2" t="s">
        <v>95</v>
      </c>
      <c r="C841" s="2" t="str">
        <f t="shared" si="13"/>
        <v>November</v>
      </c>
      <c r="D841" s="2" t="s">
        <v>4</v>
      </c>
      <c r="E841" s="2" t="s">
        <v>62</v>
      </c>
      <c r="F841" s="2" t="s">
        <v>63</v>
      </c>
      <c r="G841" s="2" t="s">
        <v>8</v>
      </c>
      <c r="H841" s="2" t="s">
        <v>76</v>
      </c>
      <c r="I841" s="2" t="s">
        <v>76</v>
      </c>
      <c r="J841" s="2" t="s">
        <v>19</v>
      </c>
      <c r="K841" s="2" t="s">
        <v>21</v>
      </c>
      <c r="L841" s="2">
        <v>8</v>
      </c>
      <c r="M841" s="2">
        <v>10360</v>
      </c>
      <c r="N841" s="2">
        <v>5</v>
      </c>
      <c r="O841" s="2">
        <v>78736</v>
      </c>
      <c r="P841" s="6">
        <v>5021.47</v>
      </c>
    </row>
    <row r="842" spans="1:16" x14ac:dyDescent="0.3">
      <c r="A842" s="5" t="s">
        <v>1341</v>
      </c>
      <c r="B842" s="2" t="s">
        <v>108</v>
      </c>
      <c r="C842" s="2" t="str">
        <f t="shared" si="13"/>
        <v>October</v>
      </c>
      <c r="D842" s="2" t="s">
        <v>3</v>
      </c>
      <c r="E842" s="2" t="s">
        <v>117</v>
      </c>
      <c r="F842" s="2" t="s">
        <v>117</v>
      </c>
      <c r="G842" s="2" t="s">
        <v>10</v>
      </c>
      <c r="H842" s="2" t="s">
        <v>100</v>
      </c>
      <c r="I842" s="2" t="s">
        <v>100</v>
      </c>
      <c r="J842" s="2" t="s">
        <v>12</v>
      </c>
      <c r="K842" s="2" t="s">
        <v>21</v>
      </c>
      <c r="L842" s="2">
        <v>6</v>
      </c>
      <c r="M842" s="2">
        <v>44205</v>
      </c>
      <c r="N842" s="2">
        <v>15</v>
      </c>
      <c r="O842" s="2">
        <v>225445.5</v>
      </c>
      <c r="P842" s="6">
        <v>67178.25</v>
      </c>
    </row>
    <row r="843" spans="1:16" x14ac:dyDescent="0.3">
      <c r="A843" s="5" t="s">
        <v>1342</v>
      </c>
      <c r="B843" s="2" t="s">
        <v>1343</v>
      </c>
      <c r="C843" s="2" t="str">
        <f t="shared" si="13"/>
        <v>May</v>
      </c>
      <c r="D843" s="2" t="s">
        <v>5</v>
      </c>
      <c r="E843" s="2" t="s">
        <v>52</v>
      </c>
      <c r="F843" s="2" t="s">
        <v>53</v>
      </c>
      <c r="G843" s="2" t="s">
        <v>8</v>
      </c>
      <c r="H843" s="2" t="s">
        <v>93</v>
      </c>
      <c r="I843" s="2" t="s">
        <v>93</v>
      </c>
      <c r="J843" s="2" t="s">
        <v>16</v>
      </c>
      <c r="K843" s="2" t="s">
        <v>21</v>
      </c>
      <c r="L843" s="2">
        <v>2</v>
      </c>
      <c r="M843" s="2">
        <v>36684</v>
      </c>
      <c r="N843" s="2">
        <v>5</v>
      </c>
      <c r="O843" s="2">
        <v>69699.600000000006</v>
      </c>
      <c r="P843" s="6">
        <v>7938.68</v>
      </c>
    </row>
    <row r="844" spans="1:16" x14ac:dyDescent="0.3">
      <c r="A844" s="5" t="s">
        <v>1344</v>
      </c>
      <c r="B844" s="2" t="s">
        <v>636</v>
      </c>
      <c r="C844" s="2" t="str">
        <f t="shared" si="13"/>
        <v>May</v>
      </c>
      <c r="D844" s="2" t="s">
        <v>2</v>
      </c>
      <c r="E844" s="2" t="s">
        <v>103</v>
      </c>
      <c r="F844" s="2" t="s">
        <v>104</v>
      </c>
      <c r="G844" s="2" t="s">
        <v>9</v>
      </c>
      <c r="H844" s="2" t="s">
        <v>72</v>
      </c>
      <c r="I844" s="2" t="s">
        <v>72</v>
      </c>
      <c r="J844" s="2" t="s">
        <v>19</v>
      </c>
      <c r="K844" s="2" t="s">
        <v>21</v>
      </c>
      <c r="L844" s="2">
        <v>6</v>
      </c>
      <c r="M844" s="2">
        <v>23925</v>
      </c>
      <c r="N844" s="2">
        <v>10</v>
      </c>
      <c r="O844" s="2">
        <v>129195</v>
      </c>
      <c r="P844" s="6">
        <v>19216.810000000001</v>
      </c>
    </row>
    <row r="845" spans="1:16" x14ac:dyDescent="0.3">
      <c r="A845" s="5" t="s">
        <v>1345</v>
      </c>
      <c r="B845" s="2" t="s">
        <v>1229</v>
      </c>
      <c r="C845" s="2" t="str">
        <f t="shared" si="13"/>
        <v>May</v>
      </c>
      <c r="D845" s="2" t="s">
        <v>4</v>
      </c>
      <c r="E845" s="2" t="s">
        <v>62</v>
      </c>
      <c r="F845" s="2" t="s">
        <v>63</v>
      </c>
      <c r="G845" s="2" t="s">
        <v>8</v>
      </c>
      <c r="H845" s="2" t="s">
        <v>133</v>
      </c>
      <c r="I845" s="2" t="s">
        <v>133</v>
      </c>
      <c r="J845" s="2" t="s">
        <v>14</v>
      </c>
      <c r="K845" s="2" t="s">
        <v>21</v>
      </c>
      <c r="L845" s="2">
        <v>5</v>
      </c>
      <c r="M845" s="2">
        <v>39801</v>
      </c>
      <c r="N845" s="2">
        <v>0</v>
      </c>
      <c r="O845" s="2">
        <v>199005</v>
      </c>
      <c r="P845" s="6">
        <v>49363.49</v>
      </c>
    </row>
    <row r="846" spans="1:16" x14ac:dyDescent="0.3">
      <c r="A846" s="5" t="s">
        <v>1346</v>
      </c>
      <c r="B846" s="2" t="s">
        <v>1067</v>
      </c>
      <c r="C846" s="2" t="str">
        <f t="shared" si="13"/>
        <v>January</v>
      </c>
      <c r="D846" s="2" t="s">
        <v>3</v>
      </c>
      <c r="E846" s="2" t="s">
        <v>117</v>
      </c>
      <c r="F846" s="2" t="s">
        <v>117</v>
      </c>
      <c r="G846" s="2" t="s">
        <v>9</v>
      </c>
      <c r="H846" s="2" t="s">
        <v>59</v>
      </c>
      <c r="I846" s="2" t="s">
        <v>59</v>
      </c>
      <c r="J846" s="2" t="s">
        <v>17</v>
      </c>
      <c r="K846" s="2" t="s">
        <v>21</v>
      </c>
      <c r="L846" s="2">
        <v>8</v>
      </c>
      <c r="M846" s="2">
        <v>35554</v>
      </c>
      <c r="N846" s="2">
        <v>15</v>
      </c>
      <c r="O846" s="2">
        <v>241767.2</v>
      </c>
      <c r="P846" s="6">
        <v>40449.120000000003</v>
      </c>
    </row>
    <row r="847" spans="1:16" x14ac:dyDescent="0.3">
      <c r="A847" s="5" t="s">
        <v>1347</v>
      </c>
      <c r="B847" s="2" t="s">
        <v>1245</v>
      </c>
      <c r="C847" s="2" t="str">
        <f t="shared" si="13"/>
        <v>September</v>
      </c>
      <c r="D847" s="2" t="s">
        <v>3</v>
      </c>
      <c r="E847" s="2" t="s">
        <v>117</v>
      </c>
      <c r="F847" s="2" t="s">
        <v>117</v>
      </c>
      <c r="G847" s="2" t="s">
        <v>9</v>
      </c>
      <c r="H847" s="2" t="s">
        <v>72</v>
      </c>
      <c r="I847" s="2" t="s">
        <v>72</v>
      </c>
      <c r="J847" s="2" t="s">
        <v>14</v>
      </c>
      <c r="K847" s="2" t="s">
        <v>21</v>
      </c>
      <c r="L847" s="2">
        <v>1</v>
      </c>
      <c r="M847" s="2">
        <v>44952</v>
      </c>
      <c r="N847" s="2">
        <v>15</v>
      </c>
      <c r="O847" s="2">
        <v>38209.199999999997</v>
      </c>
      <c r="P847" s="6">
        <v>5394.65</v>
      </c>
    </row>
    <row r="848" spans="1:16" x14ac:dyDescent="0.3">
      <c r="A848" s="5" t="s">
        <v>1348</v>
      </c>
      <c r="B848" s="2" t="s">
        <v>561</v>
      </c>
      <c r="C848" s="2" t="str">
        <f t="shared" si="13"/>
        <v>July</v>
      </c>
      <c r="D848" s="2" t="s">
        <v>2</v>
      </c>
      <c r="E848" s="2" t="s">
        <v>103</v>
      </c>
      <c r="F848" s="2" t="s">
        <v>104</v>
      </c>
      <c r="G848" s="2" t="s">
        <v>8</v>
      </c>
      <c r="H848" s="2" t="s">
        <v>133</v>
      </c>
      <c r="I848" s="2" t="s">
        <v>133</v>
      </c>
      <c r="J848" s="2" t="s">
        <v>16</v>
      </c>
      <c r="K848" s="2" t="s">
        <v>22</v>
      </c>
      <c r="L848" s="2">
        <v>9</v>
      </c>
      <c r="M848" s="2">
        <v>3692</v>
      </c>
      <c r="N848" s="2">
        <v>15</v>
      </c>
      <c r="O848" s="2">
        <v>28243.8</v>
      </c>
      <c r="P848" s="6">
        <v>6976.66</v>
      </c>
    </row>
    <row r="849" spans="1:16" x14ac:dyDescent="0.3">
      <c r="A849" s="5" t="s">
        <v>1349</v>
      </c>
      <c r="B849" s="2" t="s">
        <v>736</v>
      </c>
      <c r="C849" s="2" t="str">
        <f t="shared" si="13"/>
        <v>September</v>
      </c>
      <c r="D849" s="2" t="s">
        <v>4</v>
      </c>
      <c r="E849" s="2" t="s">
        <v>67</v>
      </c>
      <c r="F849" s="2" t="s">
        <v>68</v>
      </c>
      <c r="G849" s="2" t="s">
        <v>8</v>
      </c>
      <c r="H849" s="2" t="s">
        <v>93</v>
      </c>
      <c r="I849" s="2" t="s">
        <v>93</v>
      </c>
      <c r="J849" s="2" t="s">
        <v>18</v>
      </c>
      <c r="K849" s="2" t="s">
        <v>22</v>
      </c>
      <c r="L849" s="2">
        <v>7</v>
      </c>
      <c r="M849" s="2">
        <v>36830</v>
      </c>
      <c r="N849" s="2">
        <v>20</v>
      </c>
      <c r="O849" s="2">
        <v>206248</v>
      </c>
      <c r="P849" s="6">
        <v>39371.46</v>
      </c>
    </row>
    <row r="850" spans="1:16" x14ac:dyDescent="0.3">
      <c r="A850" s="5" t="s">
        <v>1350</v>
      </c>
      <c r="B850" s="2" t="s">
        <v>1351</v>
      </c>
      <c r="C850" s="2" t="str">
        <f t="shared" si="13"/>
        <v>May</v>
      </c>
      <c r="D850" s="2" t="s">
        <v>4</v>
      </c>
      <c r="E850" s="2" t="s">
        <v>62</v>
      </c>
      <c r="F850" s="2" t="s">
        <v>63</v>
      </c>
      <c r="G850" s="2" t="s">
        <v>9</v>
      </c>
      <c r="H850" s="2" t="s">
        <v>90</v>
      </c>
      <c r="I850" s="2" t="s">
        <v>90</v>
      </c>
      <c r="J850" s="2" t="s">
        <v>18</v>
      </c>
      <c r="K850" s="2" t="s">
        <v>22</v>
      </c>
      <c r="L850" s="2">
        <v>7</v>
      </c>
      <c r="M850" s="2">
        <v>25965</v>
      </c>
      <c r="N850" s="2">
        <v>10</v>
      </c>
      <c r="O850" s="2">
        <v>163579.5</v>
      </c>
      <c r="P850" s="6">
        <v>39216.959999999999</v>
      </c>
    </row>
    <row r="851" spans="1:16" x14ac:dyDescent="0.3">
      <c r="A851" s="5" t="s">
        <v>1352</v>
      </c>
      <c r="B851" s="2" t="s">
        <v>692</v>
      </c>
      <c r="C851" s="2" t="str">
        <f t="shared" si="13"/>
        <v>January</v>
      </c>
      <c r="D851" s="2" t="s">
        <v>4</v>
      </c>
      <c r="E851" s="2" t="s">
        <v>62</v>
      </c>
      <c r="F851" s="2" t="s">
        <v>63</v>
      </c>
      <c r="G851" s="2" t="s">
        <v>8</v>
      </c>
      <c r="H851" s="2" t="s">
        <v>64</v>
      </c>
      <c r="I851" s="2" t="s">
        <v>64</v>
      </c>
      <c r="J851" s="2" t="s">
        <v>19</v>
      </c>
      <c r="K851" s="2" t="s">
        <v>21</v>
      </c>
      <c r="L851" s="2">
        <v>4</v>
      </c>
      <c r="M851" s="2">
        <v>1150</v>
      </c>
      <c r="N851" s="2">
        <v>5</v>
      </c>
      <c r="O851" s="2">
        <v>4370</v>
      </c>
      <c r="P851" s="6">
        <v>685.77</v>
      </c>
    </row>
    <row r="852" spans="1:16" x14ac:dyDescent="0.3">
      <c r="A852" s="5" t="s">
        <v>1353</v>
      </c>
      <c r="B852" s="2" t="s">
        <v>358</v>
      </c>
      <c r="C852" s="2" t="str">
        <f t="shared" si="13"/>
        <v>February</v>
      </c>
      <c r="D852" s="2" t="s">
        <v>3</v>
      </c>
      <c r="E852" s="2" t="s">
        <v>75</v>
      </c>
      <c r="F852" s="2" t="s">
        <v>75</v>
      </c>
      <c r="G852" s="2" t="s">
        <v>9</v>
      </c>
      <c r="H852" s="2" t="s">
        <v>72</v>
      </c>
      <c r="I852" s="2" t="s">
        <v>72</v>
      </c>
      <c r="J852" s="2" t="s">
        <v>19</v>
      </c>
      <c r="K852" s="2" t="s">
        <v>22</v>
      </c>
      <c r="L852" s="2">
        <v>7</v>
      </c>
      <c r="M852" s="2">
        <v>3537</v>
      </c>
      <c r="N852" s="2">
        <v>15</v>
      </c>
      <c r="O852" s="2">
        <v>21045.15</v>
      </c>
      <c r="P852" s="6">
        <v>5872.84</v>
      </c>
    </row>
    <row r="853" spans="1:16" x14ac:dyDescent="0.3">
      <c r="A853" s="5" t="s">
        <v>1354</v>
      </c>
      <c r="B853" s="2" t="s">
        <v>1124</v>
      </c>
      <c r="C853" s="2" t="str">
        <f t="shared" si="13"/>
        <v>March</v>
      </c>
      <c r="D853" s="2" t="s">
        <v>5</v>
      </c>
      <c r="E853" s="2" t="s">
        <v>57</v>
      </c>
      <c r="F853" s="2" t="s">
        <v>58</v>
      </c>
      <c r="G853" s="2" t="s">
        <v>10</v>
      </c>
      <c r="H853" s="2" t="s">
        <v>83</v>
      </c>
      <c r="I853" s="2" t="s">
        <v>83</v>
      </c>
      <c r="J853" s="2" t="s">
        <v>18</v>
      </c>
      <c r="K853" s="2" t="s">
        <v>22</v>
      </c>
      <c r="L853" s="2">
        <v>2</v>
      </c>
      <c r="M853" s="2">
        <v>11167</v>
      </c>
      <c r="N853" s="2">
        <v>20</v>
      </c>
      <c r="O853" s="2">
        <v>17867.2</v>
      </c>
      <c r="P853" s="6">
        <v>1326.07</v>
      </c>
    </row>
    <row r="854" spans="1:16" x14ac:dyDescent="0.3">
      <c r="A854" s="5" t="s">
        <v>1355</v>
      </c>
      <c r="B854" s="2" t="s">
        <v>424</v>
      </c>
      <c r="C854" s="2" t="str">
        <f t="shared" si="13"/>
        <v>February</v>
      </c>
      <c r="D854" s="2" t="s">
        <v>3</v>
      </c>
      <c r="E854" s="2" t="s">
        <v>75</v>
      </c>
      <c r="F854" s="2" t="s">
        <v>75</v>
      </c>
      <c r="G854" s="2" t="s">
        <v>10</v>
      </c>
      <c r="H854" s="2" t="s">
        <v>69</v>
      </c>
      <c r="I854" s="2" t="s">
        <v>69</v>
      </c>
      <c r="J854" s="2" t="s">
        <v>18</v>
      </c>
      <c r="K854" s="2" t="s">
        <v>22</v>
      </c>
      <c r="L854" s="2">
        <v>7</v>
      </c>
      <c r="M854" s="2">
        <v>37156</v>
      </c>
      <c r="N854" s="2">
        <v>10</v>
      </c>
      <c r="O854" s="2">
        <v>234082.8</v>
      </c>
      <c r="P854" s="6">
        <v>51174.9</v>
      </c>
    </row>
    <row r="855" spans="1:16" x14ac:dyDescent="0.3">
      <c r="A855" s="5" t="s">
        <v>1356</v>
      </c>
      <c r="B855" s="2" t="s">
        <v>1124</v>
      </c>
      <c r="C855" s="2" t="str">
        <f t="shared" si="13"/>
        <v>March</v>
      </c>
      <c r="D855" s="2" t="s">
        <v>5</v>
      </c>
      <c r="E855" s="2" t="s">
        <v>52</v>
      </c>
      <c r="F855" s="2" t="s">
        <v>53</v>
      </c>
      <c r="G855" s="2" t="s">
        <v>8</v>
      </c>
      <c r="H855" s="2" t="s">
        <v>76</v>
      </c>
      <c r="I855" s="2" t="s">
        <v>76</v>
      </c>
      <c r="J855" s="2" t="s">
        <v>12</v>
      </c>
      <c r="K855" s="2" t="s">
        <v>22</v>
      </c>
      <c r="L855" s="2">
        <v>10</v>
      </c>
      <c r="M855" s="2">
        <v>41083</v>
      </c>
      <c r="N855" s="2">
        <v>5</v>
      </c>
      <c r="O855" s="2">
        <v>390288.5</v>
      </c>
      <c r="P855" s="6">
        <v>29498.720000000001</v>
      </c>
    </row>
    <row r="856" spans="1:16" x14ac:dyDescent="0.3">
      <c r="A856" s="5" t="s">
        <v>1357</v>
      </c>
      <c r="B856" s="2" t="s">
        <v>1358</v>
      </c>
      <c r="C856" s="2" t="str">
        <f t="shared" si="13"/>
        <v>April</v>
      </c>
      <c r="D856" s="2" t="s">
        <v>3</v>
      </c>
      <c r="E856" s="2" t="s">
        <v>75</v>
      </c>
      <c r="F856" s="2" t="s">
        <v>75</v>
      </c>
      <c r="G856" s="2" t="s">
        <v>10</v>
      </c>
      <c r="H856" s="2" t="s">
        <v>100</v>
      </c>
      <c r="I856" s="2" t="s">
        <v>100</v>
      </c>
      <c r="J856" s="2" t="s">
        <v>15</v>
      </c>
      <c r="K856" s="2" t="s">
        <v>21</v>
      </c>
      <c r="L856" s="2">
        <v>3</v>
      </c>
      <c r="M856" s="2">
        <v>23979</v>
      </c>
      <c r="N856" s="2">
        <v>10</v>
      </c>
      <c r="O856" s="2">
        <v>64743.3</v>
      </c>
      <c r="P856" s="6">
        <v>4397.84</v>
      </c>
    </row>
    <row r="857" spans="1:16" x14ac:dyDescent="0.3">
      <c r="A857" s="5" t="s">
        <v>1359</v>
      </c>
      <c r="B857" s="2" t="s">
        <v>403</v>
      </c>
      <c r="C857" s="2" t="str">
        <f t="shared" si="13"/>
        <v>August</v>
      </c>
      <c r="D857" s="2" t="s">
        <v>5</v>
      </c>
      <c r="E857" s="2" t="s">
        <v>57</v>
      </c>
      <c r="F857" s="2" t="s">
        <v>58</v>
      </c>
      <c r="G857" s="2" t="s">
        <v>9</v>
      </c>
      <c r="H857" s="2" t="s">
        <v>59</v>
      </c>
      <c r="I857" s="2" t="s">
        <v>59</v>
      </c>
      <c r="J857" s="2" t="s">
        <v>17</v>
      </c>
      <c r="K857" s="2" t="s">
        <v>22</v>
      </c>
      <c r="L857" s="2">
        <v>10</v>
      </c>
      <c r="M857" s="2">
        <v>22653</v>
      </c>
      <c r="N857" s="2">
        <v>10</v>
      </c>
      <c r="O857" s="2">
        <v>203877</v>
      </c>
      <c r="P857" s="6">
        <v>52374.96</v>
      </c>
    </row>
    <row r="858" spans="1:16" x14ac:dyDescent="0.3">
      <c r="A858" s="5" t="s">
        <v>1360</v>
      </c>
      <c r="B858" s="2" t="s">
        <v>130</v>
      </c>
      <c r="C858" s="2" t="str">
        <f t="shared" si="13"/>
        <v>September</v>
      </c>
      <c r="D858" s="2" t="s">
        <v>3</v>
      </c>
      <c r="E858" s="2" t="s">
        <v>117</v>
      </c>
      <c r="F858" s="2" t="s">
        <v>117</v>
      </c>
      <c r="G858" s="2" t="s">
        <v>10</v>
      </c>
      <c r="H858" s="2" t="s">
        <v>100</v>
      </c>
      <c r="I858" s="2" t="s">
        <v>100</v>
      </c>
      <c r="J858" s="2" t="s">
        <v>13</v>
      </c>
      <c r="K858" s="2" t="s">
        <v>21</v>
      </c>
      <c r="L858" s="2">
        <v>2</v>
      </c>
      <c r="M858" s="2">
        <v>4351</v>
      </c>
      <c r="N858" s="2">
        <v>20</v>
      </c>
      <c r="O858" s="2">
        <v>6961.6</v>
      </c>
      <c r="P858" s="6">
        <v>834.36</v>
      </c>
    </row>
    <row r="859" spans="1:16" x14ac:dyDescent="0.3">
      <c r="A859" s="5" t="s">
        <v>1361</v>
      </c>
      <c r="B859" s="2" t="s">
        <v>1362</v>
      </c>
      <c r="C859" s="2" t="str">
        <f t="shared" si="13"/>
        <v>July</v>
      </c>
      <c r="D859" s="2" t="s">
        <v>4</v>
      </c>
      <c r="E859" s="2" t="s">
        <v>62</v>
      </c>
      <c r="F859" s="2" t="s">
        <v>63</v>
      </c>
      <c r="G859" s="2" t="s">
        <v>9</v>
      </c>
      <c r="H859" s="2" t="s">
        <v>72</v>
      </c>
      <c r="I859" s="2" t="s">
        <v>72</v>
      </c>
      <c r="J859" s="2" t="s">
        <v>19</v>
      </c>
      <c r="K859" s="2" t="s">
        <v>21</v>
      </c>
      <c r="L859" s="2">
        <v>7</v>
      </c>
      <c r="M859" s="2">
        <v>37944</v>
      </c>
      <c r="N859" s="2">
        <v>0</v>
      </c>
      <c r="O859" s="2">
        <v>265608</v>
      </c>
      <c r="P859" s="6">
        <v>53940.33</v>
      </c>
    </row>
    <row r="860" spans="1:16" x14ac:dyDescent="0.3">
      <c r="A860" s="5" t="s">
        <v>1363</v>
      </c>
      <c r="B860" s="2" t="s">
        <v>430</v>
      </c>
      <c r="C860" s="2" t="str">
        <f t="shared" si="13"/>
        <v>February</v>
      </c>
      <c r="D860" s="2" t="s">
        <v>5</v>
      </c>
      <c r="E860" s="2" t="s">
        <v>57</v>
      </c>
      <c r="F860" s="2" t="s">
        <v>58</v>
      </c>
      <c r="G860" s="2" t="s">
        <v>9</v>
      </c>
      <c r="H860" s="2" t="s">
        <v>90</v>
      </c>
      <c r="I860" s="2" t="s">
        <v>90</v>
      </c>
      <c r="J860" s="2" t="s">
        <v>19</v>
      </c>
      <c r="K860" s="2" t="s">
        <v>22</v>
      </c>
      <c r="L860" s="2">
        <v>1</v>
      </c>
      <c r="M860" s="2">
        <v>13938</v>
      </c>
      <c r="N860" s="2">
        <v>15</v>
      </c>
      <c r="O860" s="2">
        <v>11847.3</v>
      </c>
      <c r="P860" s="6">
        <v>1362.91</v>
      </c>
    </row>
    <row r="861" spans="1:16" x14ac:dyDescent="0.3">
      <c r="A861" s="5" t="s">
        <v>1364</v>
      </c>
      <c r="B861" s="2" t="s">
        <v>567</v>
      </c>
      <c r="C861" s="2" t="str">
        <f t="shared" si="13"/>
        <v>October</v>
      </c>
      <c r="D861" s="2" t="s">
        <v>2</v>
      </c>
      <c r="E861" s="2" t="s">
        <v>81</v>
      </c>
      <c r="F861" s="2" t="s">
        <v>82</v>
      </c>
      <c r="G861" s="2" t="s">
        <v>10</v>
      </c>
      <c r="H861" s="2" t="s">
        <v>69</v>
      </c>
      <c r="I861" s="2" t="s">
        <v>69</v>
      </c>
      <c r="J861" s="2" t="s">
        <v>19</v>
      </c>
      <c r="K861" s="2" t="s">
        <v>21</v>
      </c>
      <c r="L861" s="2">
        <v>2</v>
      </c>
      <c r="M861" s="2">
        <v>17687</v>
      </c>
      <c r="N861" s="2">
        <v>10</v>
      </c>
      <c r="O861" s="2">
        <v>31836.6</v>
      </c>
      <c r="P861" s="6">
        <v>3731.42</v>
      </c>
    </row>
    <row r="862" spans="1:16" x14ac:dyDescent="0.3">
      <c r="A862" s="5" t="s">
        <v>1365</v>
      </c>
      <c r="B862" s="2" t="s">
        <v>1128</v>
      </c>
      <c r="C862" s="2" t="str">
        <f t="shared" si="13"/>
        <v>January</v>
      </c>
      <c r="D862" s="2" t="s">
        <v>3</v>
      </c>
      <c r="E862" s="2" t="s">
        <v>117</v>
      </c>
      <c r="F862" s="2" t="s">
        <v>117</v>
      </c>
      <c r="G862" s="2" t="s">
        <v>9</v>
      </c>
      <c r="H862" s="2" t="s">
        <v>72</v>
      </c>
      <c r="I862" s="2" t="s">
        <v>72</v>
      </c>
      <c r="J862" s="2" t="s">
        <v>18</v>
      </c>
      <c r="K862" s="2" t="s">
        <v>22</v>
      </c>
      <c r="L862" s="2">
        <v>8</v>
      </c>
      <c r="M862" s="2">
        <v>3730</v>
      </c>
      <c r="N862" s="2">
        <v>5</v>
      </c>
      <c r="O862" s="2">
        <v>28348</v>
      </c>
      <c r="P862" s="6">
        <v>3680.93</v>
      </c>
    </row>
    <row r="863" spans="1:16" x14ac:dyDescent="0.3">
      <c r="A863" s="5" t="s">
        <v>1366</v>
      </c>
      <c r="B863" s="2" t="s">
        <v>89</v>
      </c>
      <c r="C863" s="2" t="str">
        <f t="shared" si="13"/>
        <v>July</v>
      </c>
      <c r="D863" s="2" t="s">
        <v>3</v>
      </c>
      <c r="E863" s="2" t="s">
        <v>117</v>
      </c>
      <c r="F863" s="2" t="s">
        <v>117</v>
      </c>
      <c r="G863" s="2" t="s">
        <v>10</v>
      </c>
      <c r="H863" s="2" t="s">
        <v>69</v>
      </c>
      <c r="I863" s="2" t="s">
        <v>69</v>
      </c>
      <c r="J863" s="2" t="s">
        <v>13</v>
      </c>
      <c r="K863" s="2" t="s">
        <v>22</v>
      </c>
      <c r="L863" s="2">
        <v>1</v>
      </c>
      <c r="M863" s="2">
        <v>31171</v>
      </c>
      <c r="N863" s="2">
        <v>10</v>
      </c>
      <c r="O863" s="2">
        <v>28053.9</v>
      </c>
      <c r="P863" s="6">
        <v>3711.99</v>
      </c>
    </row>
    <row r="864" spans="1:16" x14ac:dyDescent="0.3">
      <c r="A864" s="5" t="s">
        <v>1367</v>
      </c>
      <c r="B864" s="2" t="s">
        <v>759</v>
      </c>
      <c r="C864" s="2" t="str">
        <f t="shared" si="13"/>
        <v>January</v>
      </c>
      <c r="D864" s="2" t="s">
        <v>4</v>
      </c>
      <c r="E864" s="2" t="s">
        <v>67</v>
      </c>
      <c r="F864" s="2" t="s">
        <v>68</v>
      </c>
      <c r="G864" s="2" t="s">
        <v>10</v>
      </c>
      <c r="H864" s="2" t="s">
        <v>54</v>
      </c>
      <c r="I864" s="2" t="s">
        <v>54</v>
      </c>
      <c r="J864" s="2" t="s">
        <v>16</v>
      </c>
      <c r="K864" s="2" t="s">
        <v>22</v>
      </c>
      <c r="L864" s="2">
        <v>8</v>
      </c>
      <c r="M864" s="2">
        <v>30964</v>
      </c>
      <c r="N864" s="2">
        <v>15</v>
      </c>
      <c r="O864" s="2">
        <v>210555.2</v>
      </c>
      <c r="P864" s="6">
        <v>29012.86</v>
      </c>
    </row>
    <row r="865" spans="1:16" x14ac:dyDescent="0.3">
      <c r="A865" s="5" t="s">
        <v>1368</v>
      </c>
      <c r="B865" s="2" t="s">
        <v>512</v>
      </c>
      <c r="C865" s="2" t="str">
        <f t="shared" si="13"/>
        <v>December</v>
      </c>
      <c r="D865" s="2" t="s">
        <v>4</v>
      </c>
      <c r="E865" s="2" t="s">
        <v>62</v>
      </c>
      <c r="F865" s="2" t="s">
        <v>63</v>
      </c>
      <c r="G865" s="2" t="s">
        <v>10</v>
      </c>
      <c r="H865" s="2" t="s">
        <v>100</v>
      </c>
      <c r="I865" s="2" t="s">
        <v>100</v>
      </c>
      <c r="J865" s="2" t="s">
        <v>16</v>
      </c>
      <c r="K865" s="2" t="s">
        <v>22</v>
      </c>
      <c r="L865" s="2">
        <v>1</v>
      </c>
      <c r="M865" s="2">
        <v>21994</v>
      </c>
      <c r="N865" s="2">
        <v>0</v>
      </c>
      <c r="O865" s="2">
        <v>21994</v>
      </c>
      <c r="P865" s="6">
        <v>3401.57</v>
      </c>
    </row>
    <row r="866" spans="1:16" x14ac:dyDescent="0.3">
      <c r="A866" s="5" t="s">
        <v>1369</v>
      </c>
      <c r="B866" s="2" t="s">
        <v>528</v>
      </c>
      <c r="C866" s="2" t="str">
        <f t="shared" si="13"/>
        <v>April</v>
      </c>
      <c r="D866" s="2" t="s">
        <v>3</v>
      </c>
      <c r="E866" s="2" t="s">
        <v>75</v>
      </c>
      <c r="F866" s="2" t="s">
        <v>75</v>
      </c>
      <c r="G866" s="2" t="s">
        <v>10</v>
      </c>
      <c r="H866" s="2" t="s">
        <v>54</v>
      </c>
      <c r="I866" s="2" t="s">
        <v>54</v>
      </c>
      <c r="J866" s="2" t="s">
        <v>19</v>
      </c>
      <c r="K866" s="2" t="s">
        <v>22</v>
      </c>
      <c r="L866" s="2">
        <v>7</v>
      </c>
      <c r="M866" s="2">
        <v>35883</v>
      </c>
      <c r="N866" s="2">
        <v>15</v>
      </c>
      <c r="O866" s="2">
        <v>213503.85</v>
      </c>
      <c r="P866" s="6">
        <v>16193</v>
      </c>
    </row>
    <row r="867" spans="1:16" x14ac:dyDescent="0.3">
      <c r="A867" s="5" t="s">
        <v>1370</v>
      </c>
      <c r="B867" s="2" t="s">
        <v>152</v>
      </c>
      <c r="C867" s="2" t="str">
        <f t="shared" si="13"/>
        <v>January</v>
      </c>
      <c r="D867" s="2" t="s">
        <v>2</v>
      </c>
      <c r="E867" s="2" t="s">
        <v>103</v>
      </c>
      <c r="F867" s="2" t="s">
        <v>104</v>
      </c>
      <c r="G867" s="2" t="s">
        <v>8</v>
      </c>
      <c r="H867" s="2" t="s">
        <v>64</v>
      </c>
      <c r="I867" s="2" t="s">
        <v>64</v>
      </c>
      <c r="J867" s="2" t="s">
        <v>17</v>
      </c>
      <c r="K867" s="2" t="s">
        <v>21</v>
      </c>
      <c r="L867" s="2">
        <v>7</v>
      </c>
      <c r="M867" s="2">
        <v>42564</v>
      </c>
      <c r="N867" s="2">
        <v>0</v>
      </c>
      <c r="O867" s="2">
        <v>297948</v>
      </c>
      <c r="P867" s="6">
        <v>41815.64</v>
      </c>
    </row>
    <row r="868" spans="1:16" x14ac:dyDescent="0.3">
      <c r="A868" s="5" t="s">
        <v>1371</v>
      </c>
      <c r="B868" s="2" t="s">
        <v>1067</v>
      </c>
      <c r="C868" s="2" t="str">
        <f t="shared" si="13"/>
        <v>January</v>
      </c>
      <c r="D868" s="2" t="s">
        <v>2</v>
      </c>
      <c r="E868" s="2" t="s">
        <v>103</v>
      </c>
      <c r="F868" s="2" t="s">
        <v>104</v>
      </c>
      <c r="G868" s="2" t="s">
        <v>10</v>
      </c>
      <c r="H868" s="2" t="s">
        <v>83</v>
      </c>
      <c r="I868" s="2" t="s">
        <v>83</v>
      </c>
      <c r="J868" s="2" t="s">
        <v>15</v>
      </c>
      <c r="K868" s="2" t="s">
        <v>22</v>
      </c>
      <c r="L868" s="2">
        <v>4</v>
      </c>
      <c r="M868" s="2">
        <v>6455</v>
      </c>
      <c r="N868" s="2">
        <v>5</v>
      </c>
      <c r="O868" s="2">
        <v>24529</v>
      </c>
      <c r="P868" s="6">
        <v>6995.78</v>
      </c>
    </row>
    <row r="869" spans="1:16" x14ac:dyDescent="0.3">
      <c r="A869" s="5" t="s">
        <v>1372</v>
      </c>
      <c r="B869" s="2" t="s">
        <v>188</v>
      </c>
      <c r="C869" s="2" t="str">
        <f t="shared" si="13"/>
        <v>February</v>
      </c>
      <c r="D869" s="2" t="s">
        <v>4</v>
      </c>
      <c r="E869" s="2" t="s">
        <v>62</v>
      </c>
      <c r="F869" s="2" t="s">
        <v>63</v>
      </c>
      <c r="G869" s="2" t="s">
        <v>8</v>
      </c>
      <c r="H869" s="2" t="s">
        <v>133</v>
      </c>
      <c r="I869" s="2" t="s">
        <v>133</v>
      </c>
      <c r="J869" s="2" t="s">
        <v>14</v>
      </c>
      <c r="K869" s="2" t="s">
        <v>22</v>
      </c>
      <c r="L869" s="2">
        <v>8</v>
      </c>
      <c r="M869" s="2">
        <v>31378</v>
      </c>
      <c r="N869" s="2">
        <v>20</v>
      </c>
      <c r="O869" s="2">
        <v>200819.20000000001</v>
      </c>
      <c r="P869" s="6">
        <v>13022.31</v>
      </c>
    </row>
    <row r="870" spans="1:16" x14ac:dyDescent="0.3">
      <c r="A870" s="5" t="s">
        <v>1373</v>
      </c>
      <c r="B870" s="2" t="s">
        <v>1374</v>
      </c>
      <c r="C870" s="2" t="str">
        <f t="shared" si="13"/>
        <v>June</v>
      </c>
      <c r="D870" s="2" t="s">
        <v>5</v>
      </c>
      <c r="E870" s="2" t="s">
        <v>57</v>
      </c>
      <c r="F870" s="2" t="s">
        <v>58</v>
      </c>
      <c r="G870" s="2" t="s">
        <v>8</v>
      </c>
      <c r="H870" s="2" t="s">
        <v>64</v>
      </c>
      <c r="I870" s="2" t="s">
        <v>64</v>
      </c>
      <c r="J870" s="2" t="s">
        <v>15</v>
      </c>
      <c r="K870" s="2" t="s">
        <v>21</v>
      </c>
      <c r="L870" s="2">
        <v>5</v>
      </c>
      <c r="M870" s="2">
        <v>23900</v>
      </c>
      <c r="N870" s="2">
        <v>15</v>
      </c>
      <c r="O870" s="2">
        <v>101575</v>
      </c>
      <c r="P870" s="6">
        <v>26833.51</v>
      </c>
    </row>
    <row r="871" spans="1:16" x14ac:dyDescent="0.3">
      <c r="A871" s="5" t="s">
        <v>1375</v>
      </c>
      <c r="B871" s="2" t="s">
        <v>1376</v>
      </c>
      <c r="C871" s="2" t="str">
        <f t="shared" si="13"/>
        <v>April</v>
      </c>
      <c r="D871" s="2" t="s">
        <v>5</v>
      </c>
      <c r="E871" s="2" t="s">
        <v>57</v>
      </c>
      <c r="F871" s="2" t="s">
        <v>58</v>
      </c>
      <c r="G871" s="2" t="s">
        <v>9</v>
      </c>
      <c r="H871" s="2" t="s">
        <v>72</v>
      </c>
      <c r="I871" s="2" t="s">
        <v>72</v>
      </c>
      <c r="J871" s="2" t="s">
        <v>13</v>
      </c>
      <c r="K871" s="2" t="s">
        <v>22</v>
      </c>
      <c r="L871" s="2">
        <v>7</v>
      </c>
      <c r="M871" s="2">
        <v>7343</v>
      </c>
      <c r="N871" s="2">
        <v>10</v>
      </c>
      <c r="O871" s="2">
        <v>46260.9</v>
      </c>
      <c r="P871" s="6">
        <v>11638.06</v>
      </c>
    </row>
    <row r="872" spans="1:16" x14ac:dyDescent="0.3">
      <c r="A872" s="5" t="s">
        <v>1377</v>
      </c>
      <c r="B872" s="2" t="s">
        <v>780</v>
      </c>
      <c r="C872" s="2" t="str">
        <f t="shared" si="13"/>
        <v>June</v>
      </c>
      <c r="D872" s="2" t="s">
        <v>4</v>
      </c>
      <c r="E872" s="2" t="s">
        <v>67</v>
      </c>
      <c r="F872" s="2" t="s">
        <v>68</v>
      </c>
      <c r="G872" s="2" t="s">
        <v>8</v>
      </c>
      <c r="H872" s="2" t="s">
        <v>76</v>
      </c>
      <c r="I872" s="2" t="s">
        <v>76</v>
      </c>
      <c r="J872" s="2" t="s">
        <v>15</v>
      </c>
      <c r="K872" s="2" t="s">
        <v>22</v>
      </c>
      <c r="L872" s="2">
        <v>9</v>
      </c>
      <c r="M872" s="2">
        <v>45371</v>
      </c>
      <c r="N872" s="2">
        <v>5</v>
      </c>
      <c r="O872" s="2">
        <v>387922.05</v>
      </c>
      <c r="P872" s="6">
        <v>103635.55</v>
      </c>
    </row>
    <row r="873" spans="1:16" x14ac:dyDescent="0.3">
      <c r="A873" s="5" t="s">
        <v>1378</v>
      </c>
      <c r="B873" s="2" t="s">
        <v>264</v>
      </c>
      <c r="C873" s="2" t="str">
        <f t="shared" si="13"/>
        <v>June</v>
      </c>
      <c r="D873" s="2" t="s">
        <v>5</v>
      </c>
      <c r="E873" s="2" t="s">
        <v>57</v>
      </c>
      <c r="F873" s="2" t="s">
        <v>58</v>
      </c>
      <c r="G873" s="2" t="s">
        <v>10</v>
      </c>
      <c r="H873" s="2" t="s">
        <v>83</v>
      </c>
      <c r="I873" s="2" t="s">
        <v>83</v>
      </c>
      <c r="J873" s="2" t="s">
        <v>13</v>
      </c>
      <c r="K873" s="2" t="s">
        <v>21</v>
      </c>
      <c r="L873" s="2">
        <v>4</v>
      </c>
      <c r="M873" s="2">
        <v>16401</v>
      </c>
      <c r="N873" s="2">
        <v>10</v>
      </c>
      <c r="O873" s="2">
        <v>59043.6</v>
      </c>
      <c r="P873" s="6">
        <v>14921.33</v>
      </c>
    </row>
    <row r="874" spans="1:16" x14ac:dyDescent="0.3">
      <c r="A874" s="5" t="s">
        <v>1379</v>
      </c>
      <c r="B874" s="2" t="s">
        <v>452</v>
      </c>
      <c r="C874" s="2" t="str">
        <f t="shared" si="13"/>
        <v>February</v>
      </c>
      <c r="D874" s="2" t="s">
        <v>3</v>
      </c>
      <c r="E874" s="2" t="s">
        <v>75</v>
      </c>
      <c r="F874" s="2" t="s">
        <v>75</v>
      </c>
      <c r="G874" s="2" t="s">
        <v>9</v>
      </c>
      <c r="H874" s="2" t="s">
        <v>59</v>
      </c>
      <c r="I874" s="2" t="s">
        <v>59</v>
      </c>
      <c r="J874" s="2" t="s">
        <v>17</v>
      </c>
      <c r="K874" s="2" t="s">
        <v>21</v>
      </c>
      <c r="L874" s="2">
        <v>10</v>
      </c>
      <c r="M874" s="2">
        <v>8962</v>
      </c>
      <c r="N874" s="2">
        <v>0</v>
      </c>
      <c r="O874" s="2">
        <v>89620</v>
      </c>
      <c r="P874" s="6">
        <v>13662.57</v>
      </c>
    </row>
    <row r="875" spans="1:16" x14ac:dyDescent="0.3">
      <c r="A875" s="5" t="s">
        <v>1380</v>
      </c>
      <c r="B875" s="2" t="s">
        <v>89</v>
      </c>
      <c r="C875" s="2" t="str">
        <f t="shared" si="13"/>
        <v>July</v>
      </c>
      <c r="D875" s="2" t="s">
        <v>2</v>
      </c>
      <c r="E875" s="2" t="s">
        <v>81</v>
      </c>
      <c r="F875" s="2" t="s">
        <v>82</v>
      </c>
      <c r="G875" s="2" t="s">
        <v>10</v>
      </c>
      <c r="H875" s="2" t="s">
        <v>69</v>
      </c>
      <c r="I875" s="2" t="s">
        <v>69</v>
      </c>
      <c r="J875" s="2" t="s">
        <v>15</v>
      </c>
      <c r="K875" s="2" t="s">
        <v>22</v>
      </c>
      <c r="L875" s="2">
        <v>5</v>
      </c>
      <c r="M875" s="2">
        <v>34382</v>
      </c>
      <c r="N875" s="2">
        <v>15</v>
      </c>
      <c r="O875" s="2">
        <v>146123.5</v>
      </c>
      <c r="P875" s="6">
        <v>17075.96</v>
      </c>
    </row>
    <row r="876" spans="1:16" x14ac:dyDescent="0.3">
      <c r="A876" s="5" t="s">
        <v>1381</v>
      </c>
      <c r="B876" s="2" t="s">
        <v>228</v>
      </c>
      <c r="C876" s="2" t="str">
        <f t="shared" si="13"/>
        <v>May</v>
      </c>
      <c r="D876" s="2" t="s">
        <v>2</v>
      </c>
      <c r="E876" s="2" t="s">
        <v>81</v>
      </c>
      <c r="F876" s="2" t="s">
        <v>82</v>
      </c>
      <c r="G876" s="2" t="s">
        <v>10</v>
      </c>
      <c r="H876" s="2" t="s">
        <v>100</v>
      </c>
      <c r="I876" s="2" t="s">
        <v>100</v>
      </c>
      <c r="J876" s="2" t="s">
        <v>16</v>
      </c>
      <c r="K876" s="2" t="s">
        <v>21</v>
      </c>
      <c r="L876" s="2">
        <v>5</v>
      </c>
      <c r="M876" s="2">
        <v>38334</v>
      </c>
      <c r="N876" s="2">
        <v>0</v>
      </c>
      <c r="O876" s="2">
        <v>191670</v>
      </c>
      <c r="P876" s="6">
        <v>30352.33</v>
      </c>
    </row>
    <row r="877" spans="1:16" x14ac:dyDescent="0.3">
      <c r="A877" s="5" t="s">
        <v>1382</v>
      </c>
      <c r="B877" s="2" t="s">
        <v>247</v>
      </c>
      <c r="C877" s="2" t="str">
        <f t="shared" si="13"/>
        <v>May</v>
      </c>
      <c r="D877" s="2" t="s">
        <v>2</v>
      </c>
      <c r="E877" s="2" t="s">
        <v>103</v>
      </c>
      <c r="F877" s="2" t="s">
        <v>104</v>
      </c>
      <c r="G877" s="2" t="s">
        <v>8</v>
      </c>
      <c r="H877" s="2" t="s">
        <v>64</v>
      </c>
      <c r="I877" s="2" t="s">
        <v>64</v>
      </c>
      <c r="J877" s="2" t="s">
        <v>15</v>
      </c>
      <c r="K877" s="2" t="s">
        <v>21</v>
      </c>
      <c r="L877" s="2">
        <v>9</v>
      </c>
      <c r="M877" s="2">
        <v>8923</v>
      </c>
      <c r="N877" s="2">
        <v>10</v>
      </c>
      <c r="O877" s="2">
        <v>72276.3</v>
      </c>
      <c r="P877" s="6">
        <v>9486.7000000000007</v>
      </c>
    </row>
    <row r="878" spans="1:16" x14ac:dyDescent="0.3">
      <c r="A878" s="5" t="s">
        <v>1383</v>
      </c>
      <c r="B878" s="2" t="s">
        <v>1384</v>
      </c>
      <c r="C878" s="2" t="str">
        <f t="shared" si="13"/>
        <v>July</v>
      </c>
      <c r="D878" s="2" t="s">
        <v>3</v>
      </c>
      <c r="E878" s="2" t="s">
        <v>117</v>
      </c>
      <c r="F878" s="2" t="s">
        <v>117</v>
      </c>
      <c r="G878" s="2" t="s">
        <v>9</v>
      </c>
      <c r="H878" s="2" t="s">
        <v>72</v>
      </c>
      <c r="I878" s="2" t="s">
        <v>72</v>
      </c>
      <c r="J878" s="2" t="s">
        <v>15</v>
      </c>
      <c r="K878" s="2" t="s">
        <v>21</v>
      </c>
      <c r="L878" s="2">
        <v>8</v>
      </c>
      <c r="M878" s="2">
        <v>34841</v>
      </c>
      <c r="N878" s="2">
        <v>0</v>
      </c>
      <c r="O878" s="2">
        <v>278728</v>
      </c>
      <c r="P878" s="6">
        <v>45479.21</v>
      </c>
    </row>
    <row r="879" spans="1:16" x14ac:dyDescent="0.3">
      <c r="A879" s="5" t="s">
        <v>1385</v>
      </c>
      <c r="B879" s="2" t="s">
        <v>866</v>
      </c>
      <c r="C879" s="2" t="str">
        <f t="shared" si="13"/>
        <v>August</v>
      </c>
      <c r="D879" s="2" t="s">
        <v>3</v>
      </c>
      <c r="E879" s="2" t="s">
        <v>75</v>
      </c>
      <c r="F879" s="2" t="s">
        <v>75</v>
      </c>
      <c r="G879" s="2" t="s">
        <v>8</v>
      </c>
      <c r="H879" s="2" t="s">
        <v>93</v>
      </c>
      <c r="I879" s="2" t="s">
        <v>93</v>
      </c>
      <c r="J879" s="2" t="s">
        <v>12</v>
      </c>
      <c r="K879" s="2" t="s">
        <v>21</v>
      </c>
      <c r="L879" s="2">
        <v>9</v>
      </c>
      <c r="M879" s="2">
        <v>1880</v>
      </c>
      <c r="N879" s="2">
        <v>15</v>
      </c>
      <c r="O879" s="2">
        <v>14382</v>
      </c>
      <c r="P879" s="6">
        <v>3120.04</v>
      </c>
    </row>
    <row r="880" spans="1:16" x14ac:dyDescent="0.3">
      <c r="A880" s="5" t="s">
        <v>1386</v>
      </c>
      <c r="B880" s="2" t="s">
        <v>1263</v>
      </c>
      <c r="C880" s="2" t="str">
        <f t="shared" si="13"/>
        <v>January</v>
      </c>
      <c r="D880" s="2" t="s">
        <v>5</v>
      </c>
      <c r="E880" s="2" t="s">
        <v>52</v>
      </c>
      <c r="F880" s="2" t="s">
        <v>53</v>
      </c>
      <c r="G880" s="2" t="s">
        <v>9</v>
      </c>
      <c r="H880" s="2" t="s">
        <v>59</v>
      </c>
      <c r="I880" s="2" t="s">
        <v>59</v>
      </c>
      <c r="J880" s="2" t="s">
        <v>17</v>
      </c>
      <c r="K880" s="2" t="s">
        <v>21</v>
      </c>
      <c r="L880" s="2">
        <v>10</v>
      </c>
      <c r="M880" s="2">
        <v>10541</v>
      </c>
      <c r="N880" s="2">
        <v>15</v>
      </c>
      <c r="O880" s="2">
        <v>89598.5</v>
      </c>
      <c r="P880" s="6">
        <v>25913.56</v>
      </c>
    </row>
    <row r="881" spans="1:16" x14ac:dyDescent="0.3">
      <c r="A881" s="5" t="s">
        <v>1387</v>
      </c>
      <c r="B881" s="2" t="s">
        <v>1046</v>
      </c>
      <c r="C881" s="2" t="str">
        <f t="shared" si="13"/>
        <v>April</v>
      </c>
      <c r="D881" s="2" t="s">
        <v>3</v>
      </c>
      <c r="E881" s="2" t="s">
        <v>117</v>
      </c>
      <c r="F881" s="2" t="s">
        <v>117</v>
      </c>
      <c r="G881" s="2" t="s">
        <v>9</v>
      </c>
      <c r="H881" s="2" t="s">
        <v>59</v>
      </c>
      <c r="I881" s="2" t="s">
        <v>59</v>
      </c>
      <c r="J881" s="2" t="s">
        <v>18</v>
      </c>
      <c r="K881" s="2" t="s">
        <v>22</v>
      </c>
      <c r="L881" s="2">
        <v>7</v>
      </c>
      <c r="M881" s="2">
        <v>11152</v>
      </c>
      <c r="N881" s="2">
        <v>0</v>
      </c>
      <c r="O881" s="2">
        <v>78064</v>
      </c>
      <c r="P881" s="6">
        <v>7701.58</v>
      </c>
    </row>
    <row r="882" spans="1:16" x14ac:dyDescent="0.3">
      <c r="A882" s="5" t="s">
        <v>1388</v>
      </c>
      <c r="B882" s="2" t="s">
        <v>377</v>
      </c>
      <c r="C882" s="2" t="str">
        <f t="shared" si="13"/>
        <v>December</v>
      </c>
      <c r="D882" s="2" t="s">
        <v>5</v>
      </c>
      <c r="E882" s="2" t="s">
        <v>57</v>
      </c>
      <c r="F882" s="2" t="s">
        <v>58</v>
      </c>
      <c r="G882" s="2" t="s">
        <v>9</v>
      </c>
      <c r="H882" s="2" t="s">
        <v>126</v>
      </c>
      <c r="I882" s="2" t="s">
        <v>126</v>
      </c>
      <c r="J882" s="2" t="s">
        <v>14</v>
      </c>
      <c r="K882" s="2" t="s">
        <v>21</v>
      </c>
      <c r="L882" s="2">
        <v>8</v>
      </c>
      <c r="M882" s="2">
        <v>7928</v>
      </c>
      <c r="N882" s="2">
        <v>15</v>
      </c>
      <c r="O882" s="2">
        <v>53910.400000000001</v>
      </c>
      <c r="P882" s="6">
        <v>14145.98</v>
      </c>
    </row>
    <row r="883" spans="1:16" x14ac:dyDescent="0.3">
      <c r="A883" s="5" t="s">
        <v>1389</v>
      </c>
      <c r="B883" s="2" t="s">
        <v>87</v>
      </c>
      <c r="C883" s="2" t="str">
        <f t="shared" si="13"/>
        <v>April</v>
      </c>
      <c r="D883" s="2" t="s">
        <v>2</v>
      </c>
      <c r="E883" s="2" t="s">
        <v>103</v>
      </c>
      <c r="F883" s="2" t="s">
        <v>104</v>
      </c>
      <c r="G883" s="2" t="s">
        <v>10</v>
      </c>
      <c r="H883" s="2" t="s">
        <v>54</v>
      </c>
      <c r="I883" s="2" t="s">
        <v>54</v>
      </c>
      <c r="J883" s="2" t="s">
        <v>15</v>
      </c>
      <c r="K883" s="2" t="s">
        <v>21</v>
      </c>
      <c r="L883" s="2">
        <v>9</v>
      </c>
      <c r="M883" s="2">
        <v>19226</v>
      </c>
      <c r="N883" s="2">
        <v>5</v>
      </c>
      <c r="O883" s="2">
        <v>164382.29999999999</v>
      </c>
      <c r="P883" s="6">
        <v>28149.61</v>
      </c>
    </row>
    <row r="884" spans="1:16" x14ac:dyDescent="0.3">
      <c r="A884" s="5" t="s">
        <v>1390</v>
      </c>
      <c r="B884" s="2" t="s">
        <v>985</v>
      </c>
      <c r="C884" s="2" t="str">
        <f t="shared" si="13"/>
        <v>September</v>
      </c>
      <c r="D884" s="2" t="s">
        <v>3</v>
      </c>
      <c r="E884" s="2" t="s">
        <v>75</v>
      </c>
      <c r="F884" s="2" t="s">
        <v>75</v>
      </c>
      <c r="G884" s="2" t="s">
        <v>8</v>
      </c>
      <c r="H884" s="2" t="s">
        <v>64</v>
      </c>
      <c r="I884" s="2" t="s">
        <v>64</v>
      </c>
      <c r="J884" s="2" t="s">
        <v>16</v>
      </c>
      <c r="K884" s="2" t="s">
        <v>21</v>
      </c>
      <c r="L884" s="2">
        <v>8</v>
      </c>
      <c r="M884" s="2">
        <v>499</v>
      </c>
      <c r="N884" s="2">
        <v>15</v>
      </c>
      <c r="O884" s="2">
        <v>3393.2</v>
      </c>
      <c r="P884" s="6">
        <v>780.99</v>
      </c>
    </row>
    <row r="885" spans="1:16" x14ac:dyDescent="0.3">
      <c r="A885" s="5" t="s">
        <v>1391</v>
      </c>
      <c r="B885" s="2" t="s">
        <v>1189</v>
      </c>
      <c r="C885" s="2" t="str">
        <f t="shared" si="13"/>
        <v>October</v>
      </c>
      <c r="D885" s="2" t="s">
        <v>4</v>
      </c>
      <c r="E885" s="2" t="s">
        <v>62</v>
      </c>
      <c r="F885" s="2" t="s">
        <v>63</v>
      </c>
      <c r="G885" s="2" t="s">
        <v>8</v>
      </c>
      <c r="H885" s="2" t="s">
        <v>93</v>
      </c>
      <c r="I885" s="2" t="s">
        <v>93</v>
      </c>
      <c r="J885" s="2" t="s">
        <v>13</v>
      </c>
      <c r="K885" s="2" t="s">
        <v>22</v>
      </c>
      <c r="L885" s="2">
        <v>2</v>
      </c>
      <c r="M885" s="2">
        <v>40449</v>
      </c>
      <c r="N885" s="2">
        <v>10</v>
      </c>
      <c r="O885" s="2">
        <v>72808.2</v>
      </c>
      <c r="P885" s="6">
        <v>11665.08</v>
      </c>
    </row>
    <row r="886" spans="1:16" x14ac:dyDescent="0.3">
      <c r="A886" s="5" t="s">
        <v>1392</v>
      </c>
      <c r="B886" s="2" t="s">
        <v>1384</v>
      </c>
      <c r="C886" s="2" t="str">
        <f t="shared" si="13"/>
        <v>July</v>
      </c>
      <c r="D886" s="2" t="s">
        <v>5</v>
      </c>
      <c r="E886" s="2" t="s">
        <v>52</v>
      </c>
      <c r="F886" s="2" t="s">
        <v>53</v>
      </c>
      <c r="G886" s="2" t="s">
        <v>8</v>
      </c>
      <c r="H886" s="2" t="s">
        <v>76</v>
      </c>
      <c r="I886" s="2" t="s">
        <v>76</v>
      </c>
      <c r="J886" s="2" t="s">
        <v>18</v>
      </c>
      <c r="K886" s="2" t="s">
        <v>22</v>
      </c>
      <c r="L886" s="2">
        <v>5</v>
      </c>
      <c r="M886" s="2">
        <v>20528</v>
      </c>
      <c r="N886" s="2">
        <v>10</v>
      </c>
      <c r="O886" s="2">
        <v>92376</v>
      </c>
      <c r="P886" s="6">
        <v>21917.02</v>
      </c>
    </row>
    <row r="887" spans="1:16" x14ac:dyDescent="0.3">
      <c r="A887" s="5" t="s">
        <v>1393</v>
      </c>
      <c r="B887" s="2" t="s">
        <v>1394</v>
      </c>
      <c r="C887" s="2" t="str">
        <f t="shared" si="13"/>
        <v>March</v>
      </c>
      <c r="D887" s="2" t="s">
        <v>3</v>
      </c>
      <c r="E887" s="2" t="s">
        <v>117</v>
      </c>
      <c r="F887" s="2" t="s">
        <v>117</v>
      </c>
      <c r="G887" s="2" t="s">
        <v>8</v>
      </c>
      <c r="H887" s="2" t="s">
        <v>76</v>
      </c>
      <c r="I887" s="2" t="s">
        <v>76</v>
      </c>
      <c r="J887" s="2" t="s">
        <v>12</v>
      </c>
      <c r="K887" s="2" t="s">
        <v>21</v>
      </c>
      <c r="L887" s="2">
        <v>7</v>
      </c>
      <c r="M887" s="2">
        <v>34439</v>
      </c>
      <c r="N887" s="2">
        <v>10</v>
      </c>
      <c r="O887" s="2">
        <v>216965.7</v>
      </c>
      <c r="P887" s="6">
        <v>21846.63</v>
      </c>
    </row>
    <row r="888" spans="1:16" x14ac:dyDescent="0.3">
      <c r="A888" s="5" t="s">
        <v>1395</v>
      </c>
      <c r="B888" s="2" t="s">
        <v>641</v>
      </c>
      <c r="C888" s="2" t="str">
        <f t="shared" si="13"/>
        <v>March</v>
      </c>
      <c r="D888" s="2" t="s">
        <v>3</v>
      </c>
      <c r="E888" s="2" t="s">
        <v>75</v>
      </c>
      <c r="F888" s="2" t="s">
        <v>75</v>
      </c>
      <c r="G888" s="2" t="s">
        <v>10</v>
      </c>
      <c r="H888" s="2" t="s">
        <v>83</v>
      </c>
      <c r="I888" s="2" t="s">
        <v>83</v>
      </c>
      <c r="J888" s="2" t="s">
        <v>14</v>
      </c>
      <c r="K888" s="2" t="s">
        <v>21</v>
      </c>
      <c r="L888" s="2">
        <v>6</v>
      </c>
      <c r="M888" s="2">
        <v>40012</v>
      </c>
      <c r="N888" s="2">
        <v>5</v>
      </c>
      <c r="O888" s="2">
        <v>228068.4</v>
      </c>
      <c r="P888" s="6">
        <v>58480.12</v>
      </c>
    </row>
    <row r="889" spans="1:16" x14ac:dyDescent="0.3">
      <c r="A889" s="5" t="s">
        <v>1396</v>
      </c>
      <c r="B889" s="2" t="s">
        <v>1397</v>
      </c>
      <c r="C889" s="2" t="str">
        <f t="shared" si="13"/>
        <v>June</v>
      </c>
      <c r="D889" s="2" t="s">
        <v>4</v>
      </c>
      <c r="E889" s="2" t="s">
        <v>67</v>
      </c>
      <c r="F889" s="2" t="s">
        <v>68</v>
      </c>
      <c r="G889" s="2" t="s">
        <v>9</v>
      </c>
      <c r="H889" s="2" t="s">
        <v>72</v>
      </c>
      <c r="I889" s="2" t="s">
        <v>72</v>
      </c>
      <c r="J889" s="2" t="s">
        <v>17</v>
      </c>
      <c r="K889" s="2" t="s">
        <v>22</v>
      </c>
      <c r="L889" s="2">
        <v>2</v>
      </c>
      <c r="M889" s="2">
        <v>31177</v>
      </c>
      <c r="N889" s="2">
        <v>20</v>
      </c>
      <c r="O889" s="2">
        <v>49883.199999999997</v>
      </c>
      <c r="P889" s="6">
        <v>9131.9500000000007</v>
      </c>
    </row>
    <row r="890" spans="1:16" x14ac:dyDescent="0.3">
      <c r="A890" s="5" t="s">
        <v>1398</v>
      </c>
      <c r="B890" s="2" t="s">
        <v>916</v>
      </c>
      <c r="C890" s="2" t="str">
        <f t="shared" si="13"/>
        <v>April</v>
      </c>
      <c r="D890" s="2" t="s">
        <v>2</v>
      </c>
      <c r="E890" s="2" t="s">
        <v>81</v>
      </c>
      <c r="F890" s="2" t="s">
        <v>82</v>
      </c>
      <c r="G890" s="2" t="s">
        <v>10</v>
      </c>
      <c r="H890" s="2" t="s">
        <v>54</v>
      </c>
      <c r="I890" s="2" t="s">
        <v>54</v>
      </c>
      <c r="J890" s="2" t="s">
        <v>15</v>
      </c>
      <c r="K890" s="2" t="s">
        <v>22</v>
      </c>
      <c r="L890" s="2">
        <v>9</v>
      </c>
      <c r="M890" s="2">
        <v>45481</v>
      </c>
      <c r="N890" s="2">
        <v>5</v>
      </c>
      <c r="O890" s="2">
        <v>388862.55</v>
      </c>
      <c r="P890" s="6">
        <v>93976.83</v>
      </c>
    </row>
    <row r="891" spans="1:16" x14ac:dyDescent="0.3">
      <c r="A891" s="5" t="s">
        <v>1399</v>
      </c>
      <c r="B891" s="2" t="s">
        <v>784</v>
      </c>
      <c r="C891" s="2" t="str">
        <f t="shared" si="13"/>
        <v>December</v>
      </c>
      <c r="D891" s="2" t="s">
        <v>4</v>
      </c>
      <c r="E891" s="2" t="s">
        <v>67</v>
      </c>
      <c r="F891" s="2" t="s">
        <v>68</v>
      </c>
      <c r="G891" s="2" t="s">
        <v>9</v>
      </c>
      <c r="H891" s="2" t="s">
        <v>72</v>
      </c>
      <c r="I891" s="2" t="s">
        <v>72</v>
      </c>
      <c r="J891" s="2" t="s">
        <v>19</v>
      </c>
      <c r="K891" s="2" t="s">
        <v>21</v>
      </c>
      <c r="L891" s="2">
        <v>10</v>
      </c>
      <c r="M891" s="2">
        <v>9819</v>
      </c>
      <c r="N891" s="2">
        <v>10</v>
      </c>
      <c r="O891" s="2">
        <v>88371</v>
      </c>
      <c r="P891" s="6">
        <v>17848.5</v>
      </c>
    </row>
    <row r="892" spans="1:16" x14ac:dyDescent="0.3">
      <c r="A892" s="5" t="s">
        <v>1400</v>
      </c>
      <c r="B892" s="2" t="s">
        <v>1401</v>
      </c>
      <c r="C892" s="2" t="str">
        <f t="shared" si="13"/>
        <v>June</v>
      </c>
      <c r="D892" s="2" t="s">
        <v>4</v>
      </c>
      <c r="E892" s="2" t="s">
        <v>67</v>
      </c>
      <c r="F892" s="2" t="s">
        <v>68</v>
      </c>
      <c r="G892" s="2" t="s">
        <v>10</v>
      </c>
      <c r="H892" s="2" t="s">
        <v>100</v>
      </c>
      <c r="I892" s="2" t="s">
        <v>100</v>
      </c>
      <c r="J892" s="2" t="s">
        <v>17</v>
      </c>
      <c r="K892" s="2" t="s">
        <v>22</v>
      </c>
      <c r="L892" s="2">
        <v>9</v>
      </c>
      <c r="M892" s="2">
        <v>46648</v>
      </c>
      <c r="N892" s="2">
        <v>5</v>
      </c>
      <c r="O892" s="2">
        <v>398840.4</v>
      </c>
      <c r="P892" s="6">
        <v>102453.61</v>
      </c>
    </row>
    <row r="893" spans="1:16" x14ac:dyDescent="0.3">
      <c r="A893" s="5" t="s">
        <v>1402</v>
      </c>
      <c r="B893" s="2" t="s">
        <v>245</v>
      </c>
      <c r="C893" s="2" t="str">
        <f t="shared" si="13"/>
        <v>July</v>
      </c>
      <c r="D893" s="2" t="s">
        <v>4</v>
      </c>
      <c r="E893" s="2" t="s">
        <v>67</v>
      </c>
      <c r="F893" s="2" t="s">
        <v>68</v>
      </c>
      <c r="G893" s="2" t="s">
        <v>8</v>
      </c>
      <c r="H893" s="2" t="s">
        <v>76</v>
      </c>
      <c r="I893" s="2" t="s">
        <v>76</v>
      </c>
      <c r="J893" s="2" t="s">
        <v>16</v>
      </c>
      <c r="K893" s="2" t="s">
        <v>22</v>
      </c>
      <c r="L893" s="2">
        <v>8</v>
      </c>
      <c r="M893" s="2">
        <v>17602</v>
      </c>
      <c r="N893" s="2">
        <v>5</v>
      </c>
      <c r="O893" s="2">
        <v>133775.20000000001</v>
      </c>
      <c r="P893" s="6">
        <v>29706.99</v>
      </c>
    </row>
    <row r="894" spans="1:16" x14ac:dyDescent="0.3">
      <c r="A894" s="5" t="s">
        <v>1403</v>
      </c>
      <c r="B894" s="2" t="s">
        <v>630</v>
      </c>
      <c r="C894" s="2" t="str">
        <f t="shared" si="13"/>
        <v>February</v>
      </c>
      <c r="D894" s="2" t="s">
        <v>5</v>
      </c>
      <c r="E894" s="2" t="s">
        <v>57</v>
      </c>
      <c r="F894" s="2" t="s">
        <v>58</v>
      </c>
      <c r="G894" s="2" t="s">
        <v>10</v>
      </c>
      <c r="H894" s="2" t="s">
        <v>54</v>
      </c>
      <c r="I894" s="2" t="s">
        <v>54</v>
      </c>
      <c r="J894" s="2" t="s">
        <v>18</v>
      </c>
      <c r="K894" s="2" t="s">
        <v>21</v>
      </c>
      <c r="L894" s="2">
        <v>2</v>
      </c>
      <c r="M894" s="2">
        <v>42391</v>
      </c>
      <c r="N894" s="2">
        <v>10</v>
      </c>
      <c r="O894" s="2">
        <v>76303.8</v>
      </c>
      <c r="P894" s="6">
        <v>14082.81</v>
      </c>
    </row>
    <row r="895" spans="1:16" x14ac:dyDescent="0.3">
      <c r="A895" s="5" t="s">
        <v>1404</v>
      </c>
      <c r="B895" s="2" t="s">
        <v>1405</v>
      </c>
      <c r="C895" s="2" t="str">
        <f t="shared" si="13"/>
        <v>November</v>
      </c>
      <c r="D895" s="2" t="s">
        <v>5</v>
      </c>
      <c r="E895" s="2" t="s">
        <v>52</v>
      </c>
      <c r="F895" s="2" t="s">
        <v>53</v>
      </c>
      <c r="G895" s="2" t="s">
        <v>8</v>
      </c>
      <c r="H895" s="2" t="s">
        <v>64</v>
      </c>
      <c r="I895" s="2" t="s">
        <v>64</v>
      </c>
      <c r="J895" s="2" t="s">
        <v>17</v>
      </c>
      <c r="K895" s="2" t="s">
        <v>21</v>
      </c>
      <c r="L895" s="2">
        <v>5</v>
      </c>
      <c r="M895" s="2">
        <v>2624</v>
      </c>
      <c r="N895" s="2">
        <v>15</v>
      </c>
      <c r="O895" s="2">
        <v>11152</v>
      </c>
      <c r="P895" s="6">
        <v>2217.2800000000002</v>
      </c>
    </row>
    <row r="896" spans="1:16" x14ac:dyDescent="0.3">
      <c r="A896" s="5" t="s">
        <v>1406</v>
      </c>
      <c r="B896" s="2" t="s">
        <v>92</v>
      </c>
      <c r="C896" s="2" t="str">
        <f t="shared" si="13"/>
        <v>May</v>
      </c>
      <c r="D896" s="2" t="s">
        <v>4</v>
      </c>
      <c r="E896" s="2" t="s">
        <v>67</v>
      </c>
      <c r="F896" s="2" t="s">
        <v>68</v>
      </c>
      <c r="G896" s="2" t="s">
        <v>10</v>
      </c>
      <c r="H896" s="2" t="s">
        <v>83</v>
      </c>
      <c r="I896" s="2" t="s">
        <v>83</v>
      </c>
      <c r="J896" s="2" t="s">
        <v>16</v>
      </c>
      <c r="K896" s="2" t="s">
        <v>21</v>
      </c>
      <c r="L896" s="2">
        <v>9</v>
      </c>
      <c r="M896" s="2">
        <v>7723</v>
      </c>
      <c r="N896" s="2">
        <v>10</v>
      </c>
      <c r="O896" s="2">
        <v>62556.3</v>
      </c>
      <c r="P896" s="6">
        <v>5848.97</v>
      </c>
    </row>
    <row r="897" spans="1:16" x14ac:dyDescent="0.3">
      <c r="A897" s="5" t="s">
        <v>1407</v>
      </c>
      <c r="B897" s="2" t="s">
        <v>1408</v>
      </c>
      <c r="C897" s="2" t="str">
        <f t="shared" si="13"/>
        <v>January</v>
      </c>
      <c r="D897" s="2" t="s">
        <v>3</v>
      </c>
      <c r="E897" s="2" t="s">
        <v>117</v>
      </c>
      <c r="F897" s="2" t="s">
        <v>117</v>
      </c>
      <c r="G897" s="2" t="s">
        <v>8</v>
      </c>
      <c r="H897" s="2" t="s">
        <v>76</v>
      </c>
      <c r="I897" s="2" t="s">
        <v>76</v>
      </c>
      <c r="J897" s="2" t="s">
        <v>15</v>
      </c>
      <c r="K897" s="2" t="s">
        <v>21</v>
      </c>
      <c r="L897" s="2">
        <v>3</v>
      </c>
      <c r="M897" s="2">
        <v>44634</v>
      </c>
      <c r="N897" s="2">
        <v>20</v>
      </c>
      <c r="O897" s="2">
        <v>107121.60000000001</v>
      </c>
      <c r="P897" s="6">
        <v>24792.560000000001</v>
      </c>
    </row>
    <row r="898" spans="1:16" x14ac:dyDescent="0.3">
      <c r="A898" s="5" t="s">
        <v>1409</v>
      </c>
      <c r="B898" s="2" t="s">
        <v>501</v>
      </c>
      <c r="C898" s="2" t="str">
        <f t="shared" si="13"/>
        <v>February</v>
      </c>
      <c r="D898" s="2" t="s">
        <v>4</v>
      </c>
      <c r="E898" s="2" t="s">
        <v>62</v>
      </c>
      <c r="F898" s="2" t="s">
        <v>63</v>
      </c>
      <c r="G898" s="2" t="s">
        <v>10</v>
      </c>
      <c r="H898" s="2" t="s">
        <v>54</v>
      </c>
      <c r="I898" s="2" t="s">
        <v>54</v>
      </c>
      <c r="J898" s="2" t="s">
        <v>16</v>
      </c>
      <c r="K898" s="2" t="s">
        <v>21</v>
      </c>
      <c r="L898" s="2">
        <v>7</v>
      </c>
      <c r="M898" s="2">
        <v>10129</v>
      </c>
      <c r="N898" s="2">
        <v>0</v>
      </c>
      <c r="O898" s="2">
        <v>70903</v>
      </c>
      <c r="P898" s="6">
        <v>6249.53</v>
      </c>
    </row>
    <row r="899" spans="1:16" x14ac:dyDescent="0.3">
      <c r="A899" s="5" t="s">
        <v>1410</v>
      </c>
      <c r="B899" s="2" t="s">
        <v>1411</v>
      </c>
      <c r="C899" s="2" t="str">
        <f t="shared" ref="C899:C962" si="14">TEXT(B899,"mmmm")</f>
        <v>May</v>
      </c>
      <c r="D899" s="2" t="s">
        <v>3</v>
      </c>
      <c r="E899" s="2" t="s">
        <v>117</v>
      </c>
      <c r="F899" s="2" t="s">
        <v>117</v>
      </c>
      <c r="G899" s="2" t="s">
        <v>10</v>
      </c>
      <c r="H899" s="2" t="s">
        <v>54</v>
      </c>
      <c r="I899" s="2" t="s">
        <v>54</v>
      </c>
      <c r="J899" s="2" t="s">
        <v>14</v>
      </c>
      <c r="K899" s="2" t="s">
        <v>22</v>
      </c>
      <c r="L899" s="2">
        <v>6</v>
      </c>
      <c r="M899" s="2">
        <v>30750</v>
      </c>
      <c r="N899" s="2">
        <v>5</v>
      </c>
      <c r="O899" s="2">
        <v>175275</v>
      </c>
      <c r="P899" s="6">
        <v>21158.79</v>
      </c>
    </row>
    <row r="900" spans="1:16" x14ac:dyDescent="0.3">
      <c r="A900" s="5" t="s">
        <v>1412</v>
      </c>
      <c r="B900" s="2" t="s">
        <v>266</v>
      </c>
      <c r="C900" s="2" t="str">
        <f t="shared" si="14"/>
        <v>October</v>
      </c>
      <c r="D900" s="2" t="s">
        <v>5</v>
      </c>
      <c r="E900" s="2" t="s">
        <v>52</v>
      </c>
      <c r="F900" s="2" t="s">
        <v>53</v>
      </c>
      <c r="G900" s="2" t="s">
        <v>9</v>
      </c>
      <c r="H900" s="2" t="s">
        <v>59</v>
      </c>
      <c r="I900" s="2" t="s">
        <v>59</v>
      </c>
      <c r="J900" s="2" t="s">
        <v>15</v>
      </c>
      <c r="K900" s="2" t="s">
        <v>22</v>
      </c>
      <c r="L900" s="2">
        <v>5</v>
      </c>
      <c r="M900" s="2">
        <v>9317</v>
      </c>
      <c r="N900" s="2">
        <v>15</v>
      </c>
      <c r="O900" s="2">
        <v>39597.25</v>
      </c>
      <c r="P900" s="6">
        <v>5549.58</v>
      </c>
    </row>
    <row r="901" spans="1:16" x14ac:dyDescent="0.3">
      <c r="A901" s="5" t="s">
        <v>1413</v>
      </c>
      <c r="B901" s="2" t="s">
        <v>1414</v>
      </c>
      <c r="C901" s="2" t="str">
        <f t="shared" si="14"/>
        <v>January</v>
      </c>
      <c r="D901" s="2" t="s">
        <v>2</v>
      </c>
      <c r="E901" s="2" t="s">
        <v>103</v>
      </c>
      <c r="F901" s="2" t="s">
        <v>104</v>
      </c>
      <c r="G901" s="2" t="s">
        <v>9</v>
      </c>
      <c r="H901" s="2" t="s">
        <v>126</v>
      </c>
      <c r="I901" s="2" t="s">
        <v>126</v>
      </c>
      <c r="J901" s="2" t="s">
        <v>19</v>
      </c>
      <c r="K901" s="2" t="s">
        <v>21</v>
      </c>
      <c r="L901" s="2">
        <v>6</v>
      </c>
      <c r="M901" s="2">
        <v>18589</v>
      </c>
      <c r="N901" s="2">
        <v>5</v>
      </c>
      <c r="O901" s="2">
        <v>105957.3</v>
      </c>
      <c r="P901" s="6">
        <v>15400.59</v>
      </c>
    </row>
    <row r="902" spans="1:16" x14ac:dyDescent="0.3">
      <c r="A902" s="5" t="s">
        <v>1415</v>
      </c>
      <c r="B902" s="2" t="s">
        <v>554</v>
      </c>
      <c r="C902" s="2" t="str">
        <f t="shared" si="14"/>
        <v>February</v>
      </c>
      <c r="D902" s="2" t="s">
        <v>5</v>
      </c>
      <c r="E902" s="2" t="s">
        <v>57</v>
      </c>
      <c r="F902" s="2" t="s">
        <v>58</v>
      </c>
      <c r="G902" s="2" t="s">
        <v>10</v>
      </c>
      <c r="H902" s="2" t="s">
        <v>100</v>
      </c>
      <c r="I902" s="2" t="s">
        <v>100</v>
      </c>
      <c r="J902" s="2" t="s">
        <v>12</v>
      </c>
      <c r="K902" s="2" t="s">
        <v>22</v>
      </c>
      <c r="L902" s="2">
        <v>4</v>
      </c>
      <c r="M902" s="2">
        <v>10888</v>
      </c>
      <c r="N902" s="2">
        <v>20</v>
      </c>
      <c r="O902" s="2">
        <v>34841.599999999999</v>
      </c>
      <c r="P902" s="6">
        <v>8511.2000000000007</v>
      </c>
    </row>
    <row r="903" spans="1:16" x14ac:dyDescent="0.3">
      <c r="A903" s="5" t="s">
        <v>1416</v>
      </c>
      <c r="B903" s="2" t="s">
        <v>468</v>
      </c>
      <c r="C903" s="2" t="str">
        <f t="shared" si="14"/>
        <v>January</v>
      </c>
      <c r="D903" s="2" t="s">
        <v>4</v>
      </c>
      <c r="E903" s="2" t="s">
        <v>62</v>
      </c>
      <c r="F903" s="2" t="s">
        <v>63</v>
      </c>
      <c r="G903" s="2" t="s">
        <v>10</v>
      </c>
      <c r="H903" s="2" t="s">
        <v>69</v>
      </c>
      <c r="I903" s="2" t="s">
        <v>69</v>
      </c>
      <c r="J903" s="2" t="s">
        <v>13</v>
      </c>
      <c r="K903" s="2" t="s">
        <v>22</v>
      </c>
      <c r="L903" s="2">
        <v>1</v>
      </c>
      <c r="M903" s="2">
        <v>32950</v>
      </c>
      <c r="N903" s="2">
        <v>10</v>
      </c>
      <c r="O903" s="2">
        <v>29655</v>
      </c>
      <c r="P903" s="6">
        <v>1997.58</v>
      </c>
    </row>
    <row r="904" spans="1:16" x14ac:dyDescent="0.3">
      <c r="A904" s="5" t="s">
        <v>1417</v>
      </c>
      <c r="B904" s="2" t="s">
        <v>1418</v>
      </c>
      <c r="C904" s="2" t="str">
        <f t="shared" si="14"/>
        <v>June</v>
      </c>
      <c r="D904" s="2" t="s">
        <v>2</v>
      </c>
      <c r="E904" s="2" t="s">
        <v>103</v>
      </c>
      <c r="F904" s="2" t="s">
        <v>104</v>
      </c>
      <c r="G904" s="2" t="s">
        <v>10</v>
      </c>
      <c r="H904" s="2" t="s">
        <v>69</v>
      </c>
      <c r="I904" s="2" t="s">
        <v>69</v>
      </c>
      <c r="J904" s="2" t="s">
        <v>13</v>
      </c>
      <c r="K904" s="2" t="s">
        <v>21</v>
      </c>
      <c r="L904" s="2">
        <v>5</v>
      </c>
      <c r="M904" s="2">
        <v>13935</v>
      </c>
      <c r="N904" s="2">
        <v>5</v>
      </c>
      <c r="O904" s="2">
        <v>66191.25</v>
      </c>
      <c r="P904" s="6">
        <v>12941.28</v>
      </c>
    </row>
    <row r="905" spans="1:16" x14ac:dyDescent="0.3">
      <c r="A905" s="5" t="s">
        <v>1419</v>
      </c>
      <c r="B905" s="2" t="s">
        <v>97</v>
      </c>
      <c r="C905" s="2" t="str">
        <f t="shared" si="14"/>
        <v>August</v>
      </c>
      <c r="D905" s="2" t="s">
        <v>4</v>
      </c>
      <c r="E905" s="2" t="s">
        <v>67</v>
      </c>
      <c r="F905" s="2" t="s">
        <v>68</v>
      </c>
      <c r="G905" s="2" t="s">
        <v>8</v>
      </c>
      <c r="H905" s="2" t="s">
        <v>64</v>
      </c>
      <c r="I905" s="2" t="s">
        <v>64</v>
      </c>
      <c r="J905" s="2" t="s">
        <v>17</v>
      </c>
      <c r="K905" s="2" t="s">
        <v>22</v>
      </c>
      <c r="L905" s="2">
        <v>4</v>
      </c>
      <c r="M905" s="2">
        <v>46913</v>
      </c>
      <c r="N905" s="2">
        <v>15</v>
      </c>
      <c r="O905" s="2">
        <v>159504.20000000001</v>
      </c>
      <c r="P905" s="6">
        <v>41963.79</v>
      </c>
    </row>
    <row r="906" spans="1:16" x14ac:dyDescent="0.3">
      <c r="A906" s="5" t="s">
        <v>1420</v>
      </c>
      <c r="B906" s="2" t="s">
        <v>1421</v>
      </c>
      <c r="C906" s="2" t="str">
        <f t="shared" si="14"/>
        <v>March</v>
      </c>
      <c r="D906" s="2" t="s">
        <v>4</v>
      </c>
      <c r="E906" s="2" t="s">
        <v>62</v>
      </c>
      <c r="F906" s="2" t="s">
        <v>63</v>
      </c>
      <c r="G906" s="2" t="s">
        <v>8</v>
      </c>
      <c r="H906" s="2" t="s">
        <v>64</v>
      </c>
      <c r="I906" s="2" t="s">
        <v>64</v>
      </c>
      <c r="J906" s="2" t="s">
        <v>13</v>
      </c>
      <c r="K906" s="2" t="s">
        <v>21</v>
      </c>
      <c r="L906" s="2">
        <v>1</v>
      </c>
      <c r="M906" s="2">
        <v>47976</v>
      </c>
      <c r="N906" s="2">
        <v>15</v>
      </c>
      <c r="O906" s="2">
        <v>40779.599999999999</v>
      </c>
      <c r="P906" s="6">
        <v>11865.67</v>
      </c>
    </row>
    <row r="907" spans="1:16" x14ac:dyDescent="0.3">
      <c r="A907" s="5" t="s">
        <v>1422</v>
      </c>
      <c r="B907" s="2" t="s">
        <v>670</v>
      </c>
      <c r="C907" s="2" t="str">
        <f t="shared" si="14"/>
        <v>November</v>
      </c>
      <c r="D907" s="2" t="s">
        <v>5</v>
      </c>
      <c r="E907" s="2" t="s">
        <v>52</v>
      </c>
      <c r="F907" s="2" t="s">
        <v>53</v>
      </c>
      <c r="G907" s="2" t="s">
        <v>10</v>
      </c>
      <c r="H907" s="2" t="s">
        <v>69</v>
      </c>
      <c r="I907" s="2" t="s">
        <v>69</v>
      </c>
      <c r="J907" s="2" t="s">
        <v>17</v>
      </c>
      <c r="K907" s="2" t="s">
        <v>22</v>
      </c>
      <c r="L907" s="2">
        <v>7</v>
      </c>
      <c r="M907" s="2">
        <v>36725</v>
      </c>
      <c r="N907" s="2">
        <v>5</v>
      </c>
      <c r="O907" s="2">
        <v>244221.25</v>
      </c>
      <c r="P907" s="6">
        <v>55373.440000000002</v>
      </c>
    </row>
    <row r="908" spans="1:16" x14ac:dyDescent="0.3">
      <c r="A908" s="5" t="s">
        <v>1423</v>
      </c>
      <c r="B908" s="2" t="s">
        <v>221</v>
      </c>
      <c r="C908" s="2" t="str">
        <f t="shared" si="14"/>
        <v>January</v>
      </c>
      <c r="D908" s="2" t="s">
        <v>5</v>
      </c>
      <c r="E908" s="2" t="s">
        <v>57</v>
      </c>
      <c r="F908" s="2" t="s">
        <v>58</v>
      </c>
      <c r="G908" s="2" t="s">
        <v>9</v>
      </c>
      <c r="H908" s="2" t="s">
        <v>126</v>
      </c>
      <c r="I908" s="2" t="s">
        <v>126</v>
      </c>
      <c r="J908" s="2" t="s">
        <v>12</v>
      </c>
      <c r="K908" s="2" t="s">
        <v>22</v>
      </c>
      <c r="L908" s="2">
        <v>4</v>
      </c>
      <c r="M908" s="2">
        <v>21667</v>
      </c>
      <c r="N908" s="2">
        <v>10</v>
      </c>
      <c r="O908" s="2">
        <v>78001.2</v>
      </c>
      <c r="P908" s="6">
        <v>9094.67</v>
      </c>
    </row>
    <row r="909" spans="1:16" x14ac:dyDescent="0.3">
      <c r="A909" s="5" t="s">
        <v>1424</v>
      </c>
      <c r="B909" s="2" t="s">
        <v>912</v>
      </c>
      <c r="C909" s="2" t="str">
        <f t="shared" si="14"/>
        <v>March</v>
      </c>
      <c r="D909" s="2" t="s">
        <v>3</v>
      </c>
      <c r="E909" s="2" t="s">
        <v>117</v>
      </c>
      <c r="F909" s="2" t="s">
        <v>117</v>
      </c>
      <c r="G909" s="2" t="s">
        <v>10</v>
      </c>
      <c r="H909" s="2" t="s">
        <v>83</v>
      </c>
      <c r="I909" s="2" t="s">
        <v>83</v>
      </c>
      <c r="J909" s="2" t="s">
        <v>17</v>
      </c>
      <c r="K909" s="2" t="s">
        <v>21</v>
      </c>
      <c r="L909" s="2">
        <v>8</v>
      </c>
      <c r="M909" s="2">
        <v>13943</v>
      </c>
      <c r="N909" s="2">
        <v>10</v>
      </c>
      <c r="O909" s="2">
        <v>100389.6</v>
      </c>
      <c r="P909" s="6">
        <v>14263.35</v>
      </c>
    </row>
    <row r="910" spans="1:16" x14ac:dyDescent="0.3">
      <c r="A910" s="5" t="s">
        <v>1425</v>
      </c>
      <c r="B910" s="2" t="s">
        <v>1426</v>
      </c>
      <c r="C910" s="2" t="str">
        <f t="shared" si="14"/>
        <v>May</v>
      </c>
      <c r="D910" s="2" t="s">
        <v>5</v>
      </c>
      <c r="E910" s="2" t="s">
        <v>52</v>
      </c>
      <c r="F910" s="2" t="s">
        <v>53</v>
      </c>
      <c r="G910" s="2" t="s">
        <v>9</v>
      </c>
      <c r="H910" s="2" t="s">
        <v>59</v>
      </c>
      <c r="I910" s="2" t="s">
        <v>59</v>
      </c>
      <c r="J910" s="2" t="s">
        <v>15</v>
      </c>
      <c r="K910" s="2" t="s">
        <v>22</v>
      </c>
      <c r="L910" s="2">
        <v>9</v>
      </c>
      <c r="M910" s="2">
        <v>25274</v>
      </c>
      <c r="N910" s="2">
        <v>5</v>
      </c>
      <c r="O910" s="2">
        <v>216092.7</v>
      </c>
      <c r="P910" s="6">
        <v>61087.78</v>
      </c>
    </row>
    <row r="911" spans="1:16" x14ac:dyDescent="0.3">
      <c r="A911" s="5" t="s">
        <v>1427</v>
      </c>
      <c r="B911" s="2" t="s">
        <v>316</v>
      </c>
      <c r="C911" s="2" t="str">
        <f t="shared" si="14"/>
        <v>June</v>
      </c>
      <c r="D911" s="2" t="s">
        <v>5</v>
      </c>
      <c r="E911" s="2" t="s">
        <v>57</v>
      </c>
      <c r="F911" s="2" t="s">
        <v>58</v>
      </c>
      <c r="G911" s="2" t="s">
        <v>8</v>
      </c>
      <c r="H911" s="2" t="s">
        <v>76</v>
      </c>
      <c r="I911" s="2" t="s">
        <v>76</v>
      </c>
      <c r="J911" s="2" t="s">
        <v>12</v>
      </c>
      <c r="K911" s="2" t="s">
        <v>21</v>
      </c>
      <c r="L911" s="2">
        <v>8</v>
      </c>
      <c r="M911" s="2">
        <v>46716</v>
      </c>
      <c r="N911" s="2">
        <v>20</v>
      </c>
      <c r="O911" s="2">
        <v>298982.40000000002</v>
      </c>
      <c r="P911" s="6">
        <v>77618.91</v>
      </c>
    </row>
    <row r="912" spans="1:16" x14ac:dyDescent="0.3">
      <c r="A912" s="5" t="s">
        <v>1428</v>
      </c>
      <c r="B912" s="2" t="s">
        <v>1429</v>
      </c>
      <c r="C912" s="2" t="str">
        <f t="shared" si="14"/>
        <v>March</v>
      </c>
      <c r="D912" s="2" t="s">
        <v>5</v>
      </c>
      <c r="E912" s="2" t="s">
        <v>57</v>
      </c>
      <c r="F912" s="2" t="s">
        <v>58</v>
      </c>
      <c r="G912" s="2" t="s">
        <v>10</v>
      </c>
      <c r="H912" s="2" t="s">
        <v>69</v>
      </c>
      <c r="I912" s="2" t="s">
        <v>69</v>
      </c>
      <c r="J912" s="2" t="s">
        <v>12</v>
      </c>
      <c r="K912" s="2" t="s">
        <v>22</v>
      </c>
      <c r="L912" s="2">
        <v>2</v>
      </c>
      <c r="M912" s="2">
        <v>7921</v>
      </c>
      <c r="N912" s="2">
        <v>0</v>
      </c>
      <c r="O912" s="2">
        <v>15842</v>
      </c>
      <c r="P912" s="6">
        <v>3373.82</v>
      </c>
    </row>
    <row r="913" spans="1:16" x14ac:dyDescent="0.3">
      <c r="A913" s="5" t="s">
        <v>1430</v>
      </c>
      <c r="B913" s="2" t="s">
        <v>769</v>
      </c>
      <c r="C913" s="2" t="str">
        <f t="shared" si="14"/>
        <v>May</v>
      </c>
      <c r="D913" s="2" t="s">
        <v>2</v>
      </c>
      <c r="E913" s="2" t="s">
        <v>81</v>
      </c>
      <c r="F913" s="2" t="s">
        <v>82</v>
      </c>
      <c r="G913" s="2" t="s">
        <v>8</v>
      </c>
      <c r="H913" s="2" t="s">
        <v>76</v>
      </c>
      <c r="I913" s="2" t="s">
        <v>76</v>
      </c>
      <c r="J913" s="2" t="s">
        <v>17</v>
      </c>
      <c r="K913" s="2" t="s">
        <v>22</v>
      </c>
      <c r="L913" s="2">
        <v>5</v>
      </c>
      <c r="M913" s="2">
        <v>17772</v>
      </c>
      <c r="N913" s="2">
        <v>5</v>
      </c>
      <c r="O913" s="2">
        <v>84417</v>
      </c>
      <c r="P913" s="6">
        <v>18956.98</v>
      </c>
    </row>
    <row r="914" spans="1:16" x14ac:dyDescent="0.3">
      <c r="A914" s="5" t="s">
        <v>1431</v>
      </c>
      <c r="B914" s="2" t="s">
        <v>1308</v>
      </c>
      <c r="C914" s="2" t="str">
        <f t="shared" si="14"/>
        <v>May</v>
      </c>
      <c r="D914" s="2" t="s">
        <v>3</v>
      </c>
      <c r="E914" s="2" t="s">
        <v>117</v>
      </c>
      <c r="F914" s="2" t="s">
        <v>117</v>
      </c>
      <c r="G914" s="2" t="s">
        <v>10</v>
      </c>
      <c r="H914" s="2" t="s">
        <v>69</v>
      </c>
      <c r="I914" s="2" t="s">
        <v>69</v>
      </c>
      <c r="J914" s="2" t="s">
        <v>17</v>
      </c>
      <c r="K914" s="2" t="s">
        <v>21</v>
      </c>
      <c r="L914" s="2">
        <v>6</v>
      </c>
      <c r="M914" s="2">
        <v>40375</v>
      </c>
      <c r="N914" s="2">
        <v>15</v>
      </c>
      <c r="O914" s="2">
        <v>205912.5</v>
      </c>
      <c r="P914" s="6">
        <v>25239.69</v>
      </c>
    </row>
    <row r="915" spans="1:16" x14ac:dyDescent="0.3">
      <c r="A915" s="5" t="s">
        <v>1432</v>
      </c>
      <c r="B915" s="2" t="s">
        <v>565</v>
      </c>
      <c r="C915" s="2" t="str">
        <f t="shared" si="14"/>
        <v>July</v>
      </c>
      <c r="D915" s="2" t="s">
        <v>2</v>
      </c>
      <c r="E915" s="2" t="s">
        <v>103</v>
      </c>
      <c r="F915" s="2" t="s">
        <v>104</v>
      </c>
      <c r="G915" s="2" t="s">
        <v>9</v>
      </c>
      <c r="H915" s="2" t="s">
        <v>59</v>
      </c>
      <c r="I915" s="2" t="s">
        <v>59</v>
      </c>
      <c r="J915" s="2" t="s">
        <v>14</v>
      </c>
      <c r="K915" s="2" t="s">
        <v>22</v>
      </c>
      <c r="L915" s="2">
        <v>8</v>
      </c>
      <c r="M915" s="2">
        <v>38664</v>
      </c>
      <c r="N915" s="2">
        <v>10</v>
      </c>
      <c r="O915" s="2">
        <v>278380.79999999999</v>
      </c>
      <c r="P915" s="6">
        <v>36723.599999999999</v>
      </c>
    </row>
    <row r="916" spans="1:16" x14ac:dyDescent="0.3">
      <c r="A916" s="5" t="s">
        <v>1433</v>
      </c>
      <c r="B916" s="2" t="s">
        <v>1080</v>
      </c>
      <c r="C916" s="2" t="str">
        <f t="shared" si="14"/>
        <v>April</v>
      </c>
      <c r="D916" s="2" t="s">
        <v>2</v>
      </c>
      <c r="E916" s="2" t="s">
        <v>81</v>
      </c>
      <c r="F916" s="2" t="s">
        <v>82</v>
      </c>
      <c r="G916" s="2" t="s">
        <v>10</v>
      </c>
      <c r="H916" s="2" t="s">
        <v>83</v>
      </c>
      <c r="I916" s="2" t="s">
        <v>83</v>
      </c>
      <c r="J916" s="2" t="s">
        <v>16</v>
      </c>
      <c r="K916" s="2" t="s">
        <v>22</v>
      </c>
      <c r="L916" s="2">
        <v>5</v>
      </c>
      <c r="M916" s="2">
        <v>11621</v>
      </c>
      <c r="N916" s="2">
        <v>20</v>
      </c>
      <c r="O916" s="2">
        <v>46484</v>
      </c>
      <c r="P916" s="6">
        <v>10279.73</v>
      </c>
    </row>
    <row r="917" spans="1:16" x14ac:dyDescent="0.3">
      <c r="A917" s="5" t="s">
        <v>1434</v>
      </c>
      <c r="B917" s="2" t="s">
        <v>110</v>
      </c>
      <c r="C917" s="2" t="str">
        <f t="shared" si="14"/>
        <v>August</v>
      </c>
      <c r="D917" s="2" t="s">
        <v>4</v>
      </c>
      <c r="E917" s="2" t="s">
        <v>67</v>
      </c>
      <c r="F917" s="2" t="s">
        <v>68</v>
      </c>
      <c r="G917" s="2" t="s">
        <v>10</v>
      </c>
      <c r="H917" s="2" t="s">
        <v>69</v>
      </c>
      <c r="I917" s="2" t="s">
        <v>69</v>
      </c>
      <c r="J917" s="2" t="s">
        <v>15</v>
      </c>
      <c r="K917" s="2" t="s">
        <v>22</v>
      </c>
      <c r="L917" s="2">
        <v>8</v>
      </c>
      <c r="M917" s="2">
        <v>25016</v>
      </c>
      <c r="N917" s="2">
        <v>5</v>
      </c>
      <c r="O917" s="2">
        <v>190121.60000000001</v>
      </c>
      <c r="P917" s="6">
        <v>44201.58</v>
      </c>
    </row>
    <row r="918" spans="1:16" x14ac:dyDescent="0.3">
      <c r="A918" s="5" t="s">
        <v>1435</v>
      </c>
      <c r="B918" s="2" t="s">
        <v>1235</v>
      </c>
      <c r="C918" s="2" t="str">
        <f t="shared" si="14"/>
        <v>March</v>
      </c>
      <c r="D918" s="2" t="s">
        <v>5</v>
      </c>
      <c r="E918" s="2" t="s">
        <v>52</v>
      </c>
      <c r="F918" s="2" t="s">
        <v>53</v>
      </c>
      <c r="G918" s="2" t="s">
        <v>10</v>
      </c>
      <c r="H918" s="2" t="s">
        <v>100</v>
      </c>
      <c r="I918" s="2" t="s">
        <v>100</v>
      </c>
      <c r="J918" s="2" t="s">
        <v>19</v>
      </c>
      <c r="K918" s="2" t="s">
        <v>22</v>
      </c>
      <c r="L918" s="2">
        <v>4</v>
      </c>
      <c r="M918" s="2">
        <v>15507</v>
      </c>
      <c r="N918" s="2">
        <v>10</v>
      </c>
      <c r="O918" s="2">
        <v>55825.2</v>
      </c>
      <c r="P918" s="6">
        <v>8048.13</v>
      </c>
    </row>
    <row r="919" spans="1:16" x14ac:dyDescent="0.3">
      <c r="A919" s="5" t="s">
        <v>1436</v>
      </c>
      <c r="B919" s="2" t="s">
        <v>914</v>
      </c>
      <c r="C919" s="2" t="str">
        <f t="shared" si="14"/>
        <v>February</v>
      </c>
      <c r="D919" s="2" t="s">
        <v>5</v>
      </c>
      <c r="E919" s="2" t="s">
        <v>52</v>
      </c>
      <c r="F919" s="2" t="s">
        <v>53</v>
      </c>
      <c r="G919" s="2" t="s">
        <v>9</v>
      </c>
      <c r="H919" s="2" t="s">
        <v>59</v>
      </c>
      <c r="I919" s="2" t="s">
        <v>59</v>
      </c>
      <c r="J919" s="2" t="s">
        <v>17</v>
      </c>
      <c r="K919" s="2" t="s">
        <v>21</v>
      </c>
      <c r="L919" s="2">
        <v>4</v>
      </c>
      <c r="M919" s="2">
        <v>11450</v>
      </c>
      <c r="N919" s="2">
        <v>0</v>
      </c>
      <c r="O919" s="2">
        <v>45800</v>
      </c>
      <c r="P919" s="6">
        <v>10449.879999999999</v>
      </c>
    </row>
    <row r="920" spans="1:16" x14ac:dyDescent="0.3">
      <c r="A920" s="5" t="s">
        <v>1437</v>
      </c>
      <c r="B920" s="2" t="s">
        <v>266</v>
      </c>
      <c r="C920" s="2" t="str">
        <f t="shared" si="14"/>
        <v>October</v>
      </c>
      <c r="D920" s="2" t="s">
        <v>3</v>
      </c>
      <c r="E920" s="2" t="s">
        <v>75</v>
      </c>
      <c r="F920" s="2" t="s">
        <v>75</v>
      </c>
      <c r="G920" s="2" t="s">
        <v>10</v>
      </c>
      <c r="H920" s="2" t="s">
        <v>83</v>
      </c>
      <c r="I920" s="2" t="s">
        <v>83</v>
      </c>
      <c r="J920" s="2" t="s">
        <v>17</v>
      </c>
      <c r="K920" s="2" t="s">
        <v>22</v>
      </c>
      <c r="L920" s="2">
        <v>1</v>
      </c>
      <c r="M920" s="2">
        <v>44905</v>
      </c>
      <c r="N920" s="2">
        <v>5</v>
      </c>
      <c r="O920" s="2">
        <v>42659.75</v>
      </c>
      <c r="P920" s="6">
        <v>12552.58</v>
      </c>
    </row>
    <row r="921" spans="1:16" x14ac:dyDescent="0.3">
      <c r="A921" s="5" t="s">
        <v>1438</v>
      </c>
      <c r="B921" s="2" t="s">
        <v>503</v>
      </c>
      <c r="C921" s="2" t="str">
        <f t="shared" si="14"/>
        <v>March</v>
      </c>
      <c r="D921" s="2" t="s">
        <v>2</v>
      </c>
      <c r="E921" s="2" t="s">
        <v>81</v>
      </c>
      <c r="F921" s="2" t="s">
        <v>82</v>
      </c>
      <c r="G921" s="2" t="s">
        <v>8</v>
      </c>
      <c r="H921" s="2" t="s">
        <v>133</v>
      </c>
      <c r="I921" s="2" t="s">
        <v>133</v>
      </c>
      <c r="J921" s="2" t="s">
        <v>15</v>
      </c>
      <c r="K921" s="2" t="s">
        <v>22</v>
      </c>
      <c r="L921" s="2">
        <v>10</v>
      </c>
      <c r="M921" s="2">
        <v>11632</v>
      </c>
      <c r="N921" s="2">
        <v>10</v>
      </c>
      <c r="O921" s="2">
        <v>104688</v>
      </c>
      <c r="P921" s="6">
        <v>25105.3</v>
      </c>
    </row>
    <row r="922" spans="1:16" x14ac:dyDescent="0.3">
      <c r="A922" s="5" t="s">
        <v>1439</v>
      </c>
      <c r="B922" s="2" t="s">
        <v>599</v>
      </c>
      <c r="C922" s="2" t="str">
        <f t="shared" si="14"/>
        <v>June</v>
      </c>
      <c r="D922" s="2" t="s">
        <v>2</v>
      </c>
      <c r="E922" s="2" t="s">
        <v>81</v>
      </c>
      <c r="F922" s="2" t="s">
        <v>82</v>
      </c>
      <c r="G922" s="2" t="s">
        <v>10</v>
      </c>
      <c r="H922" s="2" t="s">
        <v>100</v>
      </c>
      <c r="I922" s="2" t="s">
        <v>100</v>
      </c>
      <c r="J922" s="2" t="s">
        <v>13</v>
      </c>
      <c r="K922" s="2" t="s">
        <v>21</v>
      </c>
      <c r="L922" s="2">
        <v>10</v>
      </c>
      <c r="M922" s="2">
        <v>14008</v>
      </c>
      <c r="N922" s="2">
        <v>5</v>
      </c>
      <c r="O922" s="2">
        <v>133076</v>
      </c>
      <c r="P922" s="6">
        <v>30678.31</v>
      </c>
    </row>
    <row r="923" spans="1:16" x14ac:dyDescent="0.3">
      <c r="A923" s="5" t="s">
        <v>1440</v>
      </c>
      <c r="B923" s="2" t="s">
        <v>969</v>
      </c>
      <c r="C923" s="2" t="str">
        <f t="shared" si="14"/>
        <v>July</v>
      </c>
      <c r="D923" s="2" t="s">
        <v>5</v>
      </c>
      <c r="E923" s="2" t="s">
        <v>57</v>
      </c>
      <c r="F923" s="2" t="s">
        <v>58</v>
      </c>
      <c r="G923" s="2" t="s">
        <v>10</v>
      </c>
      <c r="H923" s="2" t="s">
        <v>69</v>
      </c>
      <c r="I923" s="2" t="s">
        <v>69</v>
      </c>
      <c r="J923" s="2" t="s">
        <v>15</v>
      </c>
      <c r="K923" s="2" t="s">
        <v>22</v>
      </c>
      <c r="L923" s="2">
        <v>10</v>
      </c>
      <c r="M923" s="2">
        <v>3866</v>
      </c>
      <c r="N923" s="2">
        <v>0</v>
      </c>
      <c r="O923" s="2">
        <v>38660</v>
      </c>
      <c r="P923" s="6">
        <v>9748.0499999999993</v>
      </c>
    </row>
    <row r="924" spans="1:16" x14ac:dyDescent="0.3">
      <c r="A924" s="5" t="s">
        <v>1441</v>
      </c>
      <c r="B924" s="2" t="s">
        <v>336</v>
      </c>
      <c r="C924" s="2" t="str">
        <f t="shared" si="14"/>
        <v>April</v>
      </c>
      <c r="D924" s="2" t="s">
        <v>5</v>
      </c>
      <c r="E924" s="2" t="s">
        <v>52</v>
      </c>
      <c r="F924" s="2" t="s">
        <v>53</v>
      </c>
      <c r="G924" s="2" t="s">
        <v>8</v>
      </c>
      <c r="H924" s="2" t="s">
        <v>76</v>
      </c>
      <c r="I924" s="2" t="s">
        <v>76</v>
      </c>
      <c r="J924" s="2" t="s">
        <v>19</v>
      </c>
      <c r="K924" s="2" t="s">
        <v>21</v>
      </c>
      <c r="L924" s="2">
        <v>3</v>
      </c>
      <c r="M924" s="2">
        <v>47212</v>
      </c>
      <c r="N924" s="2">
        <v>5</v>
      </c>
      <c r="O924" s="2">
        <v>134554.20000000001</v>
      </c>
      <c r="P924" s="6">
        <v>37932.26</v>
      </c>
    </row>
    <row r="925" spans="1:16" x14ac:dyDescent="0.3">
      <c r="A925" s="5" t="s">
        <v>1442</v>
      </c>
      <c r="B925" s="2" t="s">
        <v>345</v>
      </c>
      <c r="C925" s="2" t="str">
        <f t="shared" si="14"/>
        <v>March</v>
      </c>
      <c r="D925" s="2" t="s">
        <v>4</v>
      </c>
      <c r="E925" s="2" t="s">
        <v>67</v>
      </c>
      <c r="F925" s="2" t="s">
        <v>68</v>
      </c>
      <c r="G925" s="2" t="s">
        <v>10</v>
      </c>
      <c r="H925" s="2" t="s">
        <v>54</v>
      </c>
      <c r="I925" s="2" t="s">
        <v>54</v>
      </c>
      <c r="J925" s="2" t="s">
        <v>16</v>
      </c>
      <c r="K925" s="2" t="s">
        <v>21</v>
      </c>
      <c r="L925" s="2">
        <v>4</v>
      </c>
      <c r="M925" s="2">
        <v>23397</v>
      </c>
      <c r="N925" s="2">
        <v>0</v>
      </c>
      <c r="O925" s="2">
        <v>93588</v>
      </c>
      <c r="P925" s="6">
        <v>16706.810000000001</v>
      </c>
    </row>
    <row r="926" spans="1:16" x14ac:dyDescent="0.3">
      <c r="A926" s="5" t="s">
        <v>1443</v>
      </c>
      <c r="B926" s="2" t="s">
        <v>379</v>
      </c>
      <c r="C926" s="2" t="str">
        <f t="shared" si="14"/>
        <v>March</v>
      </c>
      <c r="D926" s="2" t="s">
        <v>2</v>
      </c>
      <c r="E926" s="2" t="s">
        <v>81</v>
      </c>
      <c r="F926" s="2" t="s">
        <v>82</v>
      </c>
      <c r="G926" s="2" t="s">
        <v>8</v>
      </c>
      <c r="H926" s="2" t="s">
        <v>133</v>
      </c>
      <c r="I926" s="2" t="s">
        <v>133</v>
      </c>
      <c r="J926" s="2" t="s">
        <v>14</v>
      </c>
      <c r="K926" s="2" t="s">
        <v>22</v>
      </c>
      <c r="L926" s="2">
        <v>6</v>
      </c>
      <c r="M926" s="2">
        <v>13932</v>
      </c>
      <c r="N926" s="2">
        <v>10</v>
      </c>
      <c r="O926" s="2">
        <v>75232.800000000003</v>
      </c>
      <c r="P926" s="6">
        <v>17313.34</v>
      </c>
    </row>
    <row r="927" spans="1:16" x14ac:dyDescent="0.3">
      <c r="A927" s="5" t="s">
        <v>1444</v>
      </c>
      <c r="B927" s="2" t="s">
        <v>399</v>
      </c>
      <c r="C927" s="2" t="str">
        <f t="shared" si="14"/>
        <v>April</v>
      </c>
      <c r="D927" s="2" t="s">
        <v>3</v>
      </c>
      <c r="E927" s="2" t="s">
        <v>117</v>
      </c>
      <c r="F927" s="2" t="s">
        <v>117</v>
      </c>
      <c r="G927" s="2" t="s">
        <v>8</v>
      </c>
      <c r="H927" s="2" t="s">
        <v>76</v>
      </c>
      <c r="I927" s="2" t="s">
        <v>76</v>
      </c>
      <c r="J927" s="2" t="s">
        <v>17</v>
      </c>
      <c r="K927" s="2" t="s">
        <v>21</v>
      </c>
      <c r="L927" s="2">
        <v>9</v>
      </c>
      <c r="M927" s="2">
        <v>24872</v>
      </c>
      <c r="N927" s="2">
        <v>5</v>
      </c>
      <c r="O927" s="2">
        <v>212655.6</v>
      </c>
      <c r="P927" s="6">
        <v>36715.96</v>
      </c>
    </row>
    <row r="928" spans="1:16" x14ac:dyDescent="0.3">
      <c r="A928" s="5" t="s">
        <v>1445</v>
      </c>
      <c r="B928" s="2" t="s">
        <v>1075</v>
      </c>
      <c r="C928" s="2" t="str">
        <f t="shared" si="14"/>
        <v>April</v>
      </c>
      <c r="D928" s="2" t="s">
        <v>2</v>
      </c>
      <c r="E928" s="2" t="s">
        <v>103</v>
      </c>
      <c r="F928" s="2" t="s">
        <v>104</v>
      </c>
      <c r="G928" s="2" t="s">
        <v>8</v>
      </c>
      <c r="H928" s="2" t="s">
        <v>64</v>
      </c>
      <c r="I928" s="2" t="s">
        <v>64</v>
      </c>
      <c r="J928" s="2" t="s">
        <v>18</v>
      </c>
      <c r="K928" s="2" t="s">
        <v>22</v>
      </c>
      <c r="L928" s="2">
        <v>5</v>
      </c>
      <c r="M928" s="2">
        <v>25876</v>
      </c>
      <c r="N928" s="2">
        <v>5</v>
      </c>
      <c r="O928" s="2">
        <v>122911</v>
      </c>
      <c r="P928" s="6">
        <v>31154.68</v>
      </c>
    </row>
    <row r="929" spans="1:16" x14ac:dyDescent="0.3">
      <c r="A929" s="5" t="s">
        <v>1446</v>
      </c>
      <c r="B929" s="2" t="s">
        <v>190</v>
      </c>
      <c r="C929" s="2" t="str">
        <f t="shared" si="14"/>
        <v>October</v>
      </c>
      <c r="D929" s="2" t="s">
        <v>3</v>
      </c>
      <c r="E929" s="2" t="s">
        <v>117</v>
      </c>
      <c r="F929" s="2" t="s">
        <v>117</v>
      </c>
      <c r="G929" s="2" t="s">
        <v>9</v>
      </c>
      <c r="H929" s="2" t="s">
        <v>72</v>
      </c>
      <c r="I929" s="2" t="s">
        <v>72</v>
      </c>
      <c r="J929" s="2" t="s">
        <v>18</v>
      </c>
      <c r="K929" s="2" t="s">
        <v>21</v>
      </c>
      <c r="L929" s="2">
        <v>5</v>
      </c>
      <c r="M929" s="2">
        <v>46416</v>
      </c>
      <c r="N929" s="2">
        <v>10</v>
      </c>
      <c r="O929" s="2">
        <v>208872</v>
      </c>
      <c r="P929" s="6">
        <v>39526.19</v>
      </c>
    </row>
    <row r="930" spans="1:16" x14ac:dyDescent="0.3">
      <c r="A930" s="5" t="s">
        <v>1447</v>
      </c>
      <c r="B930" s="2" t="s">
        <v>1448</v>
      </c>
      <c r="C930" s="2" t="str">
        <f t="shared" si="14"/>
        <v>July</v>
      </c>
      <c r="D930" s="2" t="s">
        <v>2</v>
      </c>
      <c r="E930" s="2" t="s">
        <v>81</v>
      </c>
      <c r="F930" s="2" t="s">
        <v>82</v>
      </c>
      <c r="G930" s="2" t="s">
        <v>9</v>
      </c>
      <c r="H930" s="2" t="s">
        <v>90</v>
      </c>
      <c r="I930" s="2" t="s">
        <v>90</v>
      </c>
      <c r="J930" s="2" t="s">
        <v>16</v>
      </c>
      <c r="K930" s="2" t="s">
        <v>22</v>
      </c>
      <c r="L930" s="2">
        <v>5</v>
      </c>
      <c r="M930" s="2">
        <v>8054</v>
      </c>
      <c r="N930" s="2">
        <v>5</v>
      </c>
      <c r="O930" s="2">
        <v>38256.5</v>
      </c>
      <c r="P930" s="6">
        <v>9261.42</v>
      </c>
    </row>
    <row r="931" spans="1:16" x14ac:dyDescent="0.3">
      <c r="A931" s="5" t="s">
        <v>1449</v>
      </c>
      <c r="B931" s="2" t="s">
        <v>1394</v>
      </c>
      <c r="C931" s="2" t="str">
        <f t="shared" si="14"/>
        <v>March</v>
      </c>
      <c r="D931" s="2" t="s">
        <v>4</v>
      </c>
      <c r="E931" s="2" t="s">
        <v>67</v>
      </c>
      <c r="F931" s="2" t="s">
        <v>68</v>
      </c>
      <c r="G931" s="2" t="s">
        <v>9</v>
      </c>
      <c r="H931" s="2" t="s">
        <v>90</v>
      </c>
      <c r="I931" s="2" t="s">
        <v>90</v>
      </c>
      <c r="J931" s="2" t="s">
        <v>12</v>
      </c>
      <c r="K931" s="2" t="s">
        <v>21</v>
      </c>
      <c r="L931" s="2">
        <v>6</v>
      </c>
      <c r="M931" s="2">
        <v>4435</v>
      </c>
      <c r="N931" s="2">
        <v>20</v>
      </c>
      <c r="O931" s="2">
        <v>21288</v>
      </c>
      <c r="P931" s="6">
        <v>3707.31</v>
      </c>
    </row>
    <row r="932" spans="1:16" x14ac:dyDescent="0.3">
      <c r="A932" s="5" t="s">
        <v>1450</v>
      </c>
      <c r="B932" s="2" t="s">
        <v>1374</v>
      </c>
      <c r="C932" s="2" t="str">
        <f t="shared" si="14"/>
        <v>June</v>
      </c>
      <c r="D932" s="2" t="s">
        <v>3</v>
      </c>
      <c r="E932" s="2" t="s">
        <v>117</v>
      </c>
      <c r="F932" s="2" t="s">
        <v>117</v>
      </c>
      <c r="G932" s="2" t="s">
        <v>10</v>
      </c>
      <c r="H932" s="2" t="s">
        <v>54</v>
      </c>
      <c r="I932" s="2" t="s">
        <v>54</v>
      </c>
      <c r="J932" s="2" t="s">
        <v>16</v>
      </c>
      <c r="K932" s="2" t="s">
        <v>21</v>
      </c>
      <c r="L932" s="2">
        <v>4</v>
      </c>
      <c r="M932" s="2">
        <v>14542</v>
      </c>
      <c r="N932" s="2">
        <v>10</v>
      </c>
      <c r="O932" s="2">
        <v>52351.199999999997</v>
      </c>
      <c r="P932" s="6">
        <v>13855.11</v>
      </c>
    </row>
    <row r="933" spans="1:16" x14ac:dyDescent="0.3">
      <c r="A933" s="5" t="s">
        <v>1451</v>
      </c>
      <c r="B933" s="2" t="s">
        <v>941</v>
      </c>
      <c r="C933" s="2" t="str">
        <f t="shared" si="14"/>
        <v>April</v>
      </c>
      <c r="D933" s="2" t="s">
        <v>2</v>
      </c>
      <c r="E933" s="2" t="s">
        <v>81</v>
      </c>
      <c r="F933" s="2" t="s">
        <v>82</v>
      </c>
      <c r="G933" s="2" t="s">
        <v>10</v>
      </c>
      <c r="H933" s="2" t="s">
        <v>54</v>
      </c>
      <c r="I933" s="2" t="s">
        <v>54</v>
      </c>
      <c r="J933" s="2" t="s">
        <v>14</v>
      </c>
      <c r="K933" s="2" t="s">
        <v>21</v>
      </c>
      <c r="L933" s="2">
        <v>3</v>
      </c>
      <c r="M933" s="2">
        <v>43948</v>
      </c>
      <c r="N933" s="2">
        <v>5</v>
      </c>
      <c r="O933" s="2">
        <v>125251.8</v>
      </c>
      <c r="P933" s="6">
        <v>9562.07</v>
      </c>
    </row>
    <row r="934" spans="1:16" x14ac:dyDescent="0.3">
      <c r="A934" s="5" t="s">
        <v>1452</v>
      </c>
      <c r="B934" s="2" t="s">
        <v>1453</v>
      </c>
      <c r="C934" s="2" t="str">
        <f t="shared" si="14"/>
        <v>May</v>
      </c>
      <c r="D934" s="2" t="s">
        <v>4</v>
      </c>
      <c r="E934" s="2" t="s">
        <v>62</v>
      </c>
      <c r="F934" s="2" t="s">
        <v>63</v>
      </c>
      <c r="G934" s="2" t="s">
        <v>8</v>
      </c>
      <c r="H934" s="2" t="s">
        <v>93</v>
      </c>
      <c r="I934" s="2" t="s">
        <v>93</v>
      </c>
      <c r="J934" s="2" t="s">
        <v>14</v>
      </c>
      <c r="K934" s="2" t="s">
        <v>22</v>
      </c>
      <c r="L934" s="2">
        <v>7</v>
      </c>
      <c r="M934" s="2">
        <v>1124</v>
      </c>
      <c r="N934" s="2">
        <v>15</v>
      </c>
      <c r="O934" s="2">
        <v>6687.8</v>
      </c>
      <c r="P934" s="6">
        <v>491.69</v>
      </c>
    </row>
    <row r="935" spans="1:16" x14ac:dyDescent="0.3">
      <c r="A935" s="5" t="s">
        <v>1454</v>
      </c>
      <c r="B935" s="2" t="s">
        <v>670</v>
      </c>
      <c r="C935" s="2" t="str">
        <f t="shared" si="14"/>
        <v>November</v>
      </c>
      <c r="D935" s="2" t="s">
        <v>3</v>
      </c>
      <c r="E935" s="2" t="s">
        <v>75</v>
      </c>
      <c r="F935" s="2" t="s">
        <v>75</v>
      </c>
      <c r="G935" s="2" t="s">
        <v>10</v>
      </c>
      <c r="H935" s="2" t="s">
        <v>69</v>
      </c>
      <c r="I935" s="2" t="s">
        <v>69</v>
      </c>
      <c r="J935" s="2" t="s">
        <v>13</v>
      </c>
      <c r="K935" s="2" t="s">
        <v>22</v>
      </c>
      <c r="L935" s="2">
        <v>5</v>
      </c>
      <c r="M935" s="2">
        <v>35113</v>
      </c>
      <c r="N935" s="2">
        <v>10</v>
      </c>
      <c r="O935" s="2">
        <v>158008.5</v>
      </c>
      <c r="P935" s="6">
        <v>45437.24</v>
      </c>
    </row>
    <row r="936" spans="1:16" x14ac:dyDescent="0.3">
      <c r="A936" s="5" t="s">
        <v>1455</v>
      </c>
      <c r="B936" s="2" t="s">
        <v>399</v>
      </c>
      <c r="C936" s="2" t="str">
        <f t="shared" si="14"/>
        <v>April</v>
      </c>
      <c r="D936" s="2" t="s">
        <v>3</v>
      </c>
      <c r="E936" s="2" t="s">
        <v>75</v>
      </c>
      <c r="F936" s="2" t="s">
        <v>75</v>
      </c>
      <c r="G936" s="2" t="s">
        <v>9</v>
      </c>
      <c r="H936" s="2" t="s">
        <v>126</v>
      </c>
      <c r="I936" s="2" t="s">
        <v>126</v>
      </c>
      <c r="J936" s="2" t="s">
        <v>15</v>
      </c>
      <c r="K936" s="2" t="s">
        <v>22</v>
      </c>
      <c r="L936" s="2">
        <v>3</v>
      </c>
      <c r="M936" s="2">
        <v>22571</v>
      </c>
      <c r="N936" s="2">
        <v>5</v>
      </c>
      <c r="O936" s="2">
        <v>64327.35</v>
      </c>
      <c r="P936" s="6">
        <v>18266.830000000002</v>
      </c>
    </row>
    <row r="937" spans="1:16" x14ac:dyDescent="0.3">
      <c r="A937" s="5" t="s">
        <v>1456</v>
      </c>
      <c r="B937" s="2" t="s">
        <v>918</v>
      </c>
      <c r="C937" s="2" t="str">
        <f t="shared" si="14"/>
        <v>September</v>
      </c>
      <c r="D937" s="2" t="s">
        <v>3</v>
      </c>
      <c r="E937" s="2" t="s">
        <v>117</v>
      </c>
      <c r="F937" s="2" t="s">
        <v>117</v>
      </c>
      <c r="G937" s="2" t="s">
        <v>9</v>
      </c>
      <c r="H937" s="2" t="s">
        <v>126</v>
      </c>
      <c r="I937" s="2" t="s">
        <v>126</v>
      </c>
      <c r="J937" s="2" t="s">
        <v>17</v>
      </c>
      <c r="K937" s="2" t="s">
        <v>22</v>
      </c>
      <c r="L937" s="2">
        <v>10</v>
      </c>
      <c r="M937" s="2">
        <v>41725</v>
      </c>
      <c r="N937" s="2">
        <v>20</v>
      </c>
      <c r="O937" s="2">
        <v>333800</v>
      </c>
      <c r="P937" s="6">
        <v>80034.850000000006</v>
      </c>
    </row>
    <row r="938" spans="1:16" x14ac:dyDescent="0.3">
      <c r="A938" s="5" t="s">
        <v>1457</v>
      </c>
      <c r="B938" s="2" t="s">
        <v>171</v>
      </c>
      <c r="C938" s="2" t="str">
        <f t="shared" si="14"/>
        <v>December</v>
      </c>
      <c r="D938" s="2" t="s">
        <v>5</v>
      </c>
      <c r="E938" s="2" t="s">
        <v>52</v>
      </c>
      <c r="F938" s="2" t="s">
        <v>53</v>
      </c>
      <c r="G938" s="2" t="s">
        <v>10</v>
      </c>
      <c r="H938" s="2" t="s">
        <v>54</v>
      </c>
      <c r="I938" s="2" t="s">
        <v>54</v>
      </c>
      <c r="J938" s="2" t="s">
        <v>16</v>
      </c>
      <c r="K938" s="2" t="s">
        <v>22</v>
      </c>
      <c r="L938" s="2">
        <v>8</v>
      </c>
      <c r="M938" s="2">
        <v>49102</v>
      </c>
      <c r="N938" s="2">
        <v>0</v>
      </c>
      <c r="O938" s="2">
        <v>392816</v>
      </c>
      <c r="P938" s="6">
        <v>45415.99</v>
      </c>
    </row>
    <row r="939" spans="1:16" x14ac:dyDescent="0.3">
      <c r="A939" s="5" t="s">
        <v>1458</v>
      </c>
      <c r="B939" s="2" t="s">
        <v>163</v>
      </c>
      <c r="C939" s="2" t="str">
        <f t="shared" si="14"/>
        <v>March</v>
      </c>
      <c r="D939" s="2" t="s">
        <v>4</v>
      </c>
      <c r="E939" s="2" t="s">
        <v>67</v>
      </c>
      <c r="F939" s="2" t="s">
        <v>68</v>
      </c>
      <c r="G939" s="2" t="s">
        <v>8</v>
      </c>
      <c r="H939" s="2" t="s">
        <v>64</v>
      </c>
      <c r="I939" s="2" t="s">
        <v>64</v>
      </c>
      <c r="J939" s="2" t="s">
        <v>18</v>
      </c>
      <c r="K939" s="2" t="s">
        <v>21</v>
      </c>
      <c r="L939" s="2">
        <v>5</v>
      </c>
      <c r="M939" s="2">
        <v>36632</v>
      </c>
      <c r="N939" s="2">
        <v>5</v>
      </c>
      <c r="O939" s="2">
        <v>174002</v>
      </c>
      <c r="P939" s="6">
        <v>35384.18</v>
      </c>
    </row>
    <row r="940" spans="1:16" x14ac:dyDescent="0.3">
      <c r="A940" s="5" t="s">
        <v>1459</v>
      </c>
      <c r="B940" s="2" t="s">
        <v>1460</v>
      </c>
      <c r="C940" s="2" t="str">
        <f t="shared" si="14"/>
        <v>February</v>
      </c>
      <c r="D940" s="2" t="s">
        <v>3</v>
      </c>
      <c r="E940" s="2" t="s">
        <v>75</v>
      </c>
      <c r="F940" s="2" t="s">
        <v>75</v>
      </c>
      <c r="G940" s="2" t="s">
        <v>9</v>
      </c>
      <c r="H940" s="2" t="s">
        <v>59</v>
      </c>
      <c r="I940" s="2" t="s">
        <v>59</v>
      </c>
      <c r="J940" s="2" t="s">
        <v>12</v>
      </c>
      <c r="K940" s="2" t="s">
        <v>22</v>
      </c>
      <c r="L940" s="2">
        <v>6</v>
      </c>
      <c r="M940" s="2">
        <v>6435</v>
      </c>
      <c r="N940" s="2">
        <v>5</v>
      </c>
      <c r="O940" s="2">
        <v>36679.5</v>
      </c>
      <c r="P940" s="6">
        <v>4609.29</v>
      </c>
    </row>
    <row r="941" spans="1:16" x14ac:dyDescent="0.3">
      <c r="A941" s="5" t="s">
        <v>1461</v>
      </c>
      <c r="B941" s="2" t="s">
        <v>1216</v>
      </c>
      <c r="C941" s="2" t="str">
        <f t="shared" si="14"/>
        <v>June</v>
      </c>
      <c r="D941" s="2" t="s">
        <v>5</v>
      </c>
      <c r="E941" s="2" t="s">
        <v>52</v>
      </c>
      <c r="F941" s="2" t="s">
        <v>53</v>
      </c>
      <c r="G941" s="2" t="s">
        <v>8</v>
      </c>
      <c r="H941" s="2" t="s">
        <v>133</v>
      </c>
      <c r="I941" s="2" t="s">
        <v>133</v>
      </c>
      <c r="J941" s="2" t="s">
        <v>12</v>
      </c>
      <c r="K941" s="2" t="s">
        <v>22</v>
      </c>
      <c r="L941" s="2">
        <v>1</v>
      </c>
      <c r="M941" s="2">
        <v>23430</v>
      </c>
      <c r="N941" s="2">
        <v>0</v>
      </c>
      <c r="O941" s="2">
        <v>23430</v>
      </c>
      <c r="P941" s="6">
        <v>6387.32</v>
      </c>
    </row>
    <row r="942" spans="1:16" x14ac:dyDescent="0.3">
      <c r="A942" s="5" t="s">
        <v>1462</v>
      </c>
      <c r="B942" s="2" t="s">
        <v>420</v>
      </c>
      <c r="C942" s="2" t="str">
        <f t="shared" si="14"/>
        <v>September</v>
      </c>
      <c r="D942" s="2" t="s">
        <v>4</v>
      </c>
      <c r="E942" s="2" t="s">
        <v>62</v>
      </c>
      <c r="F942" s="2" t="s">
        <v>63</v>
      </c>
      <c r="G942" s="2" t="s">
        <v>8</v>
      </c>
      <c r="H942" s="2" t="s">
        <v>64</v>
      </c>
      <c r="I942" s="2" t="s">
        <v>64</v>
      </c>
      <c r="J942" s="2" t="s">
        <v>18</v>
      </c>
      <c r="K942" s="2" t="s">
        <v>21</v>
      </c>
      <c r="L942" s="2">
        <v>10</v>
      </c>
      <c r="M942" s="2">
        <v>21134</v>
      </c>
      <c r="N942" s="2">
        <v>5</v>
      </c>
      <c r="O942" s="2">
        <v>200773</v>
      </c>
      <c r="P942" s="6">
        <v>23229.54</v>
      </c>
    </row>
    <row r="943" spans="1:16" x14ac:dyDescent="0.3">
      <c r="A943" s="5" t="s">
        <v>1463</v>
      </c>
      <c r="B943" s="2" t="s">
        <v>1464</v>
      </c>
      <c r="C943" s="2" t="str">
        <f t="shared" si="14"/>
        <v>March</v>
      </c>
      <c r="D943" s="2" t="s">
        <v>4</v>
      </c>
      <c r="E943" s="2" t="s">
        <v>67</v>
      </c>
      <c r="F943" s="2" t="s">
        <v>68</v>
      </c>
      <c r="G943" s="2" t="s">
        <v>10</v>
      </c>
      <c r="H943" s="2" t="s">
        <v>69</v>
      </c>
      <c r="I943" s="2" t="s">
        <v>69</v>
      </c>
      <c r="J943" s="2" t="s">
        <v>19</v>
      </c>
      <c r="K943" s="2" t="s">
        <v>22</v>
      </c>
      <c r="L943" s="2">
        <v>8</v>
      </c>
      <c r="M943" s="2">
        <v>37391</v>
      </c>
      <c r="N943" s="2">
        <v>5</v>
      </c>
      <c r="O943" s="2">
        <v>284171.59999999998</v>
      </c>
      <c r="P943" s="6">
        <v>68652.91</v>
      </c>
    </row>
    <row r="944" spans="1:16" x14ac:dyDescent="0.3">
      <c r="A944" s="5" t="s">
        <v>1465</v>
      </c>
      <c r="B944" s="2" t="s">
        <v>1466</v>
      </c>
      <c r="C944" s="2" t="str">
        <f t="shared" si="14"/>
        <v>January</v>
      </c>
      <c r="D944" s="2" t="s">
        <v>2</v>
      </c>
      <c r="E944" s="2" t="s">
        <v>81</v>
      </c>
      <c r="F944" s="2" t="s">
        <v>82</v>
      </c>
      <c r="G944" s="2" t="s">
        <v>9</v>
      </c>
      <c r="H944" s="2" t="s">
        <v>72</v>
      </c>
      <c r="I944" s="2" t="s">
        <v>72</v>
      </c>
      <c r="J944" s="2" t="s">
        <v>13</v>
      </c>
      <c r="K944" s="2" t="s">
        <v>21</v>
      </c>
      <c r="L944" s="2">
        <v>2</v>
      </c>
      <c r="M944" s="2">
        <v>11092</v>
      </c>
      <c r="N944" s="2">
        <v>20</v>
      </c>
      <c r="O944" s="2">
        <v>17747.2</v>
      </c>
      <c r="P944" s="6">
        <v>4545.08</v>
      </c>
    </row>
    <row r="945" spans="1:16" x14ac:dyDescent="0.3">
      <c r="A945" s="5" t="s">
        <v>1467</v>
      </c>
      <c r="B945" s="2" t="s">
        <v>561</v>
      </c>
      <c r="C945" s="2" t="str">
        <f t="shared" si="14"/>
        <v>July</v>
      </c>
      <c r="D945" s="2" t="s">
        <v>3</v>
      </c>
      <c r="E945" s="2" t="s">
        <v>117</v>
      </c>
      <c r="F945" s="2" t="s">
        <v>117</v>
      </c>
      <c r="G945" s="2" t="s">
        <v>8</v>
      </c>
      <c r="H945" s="2" t="s">
        <v>64</v>
      </c>
      <c r="I945" s="2" t="s">
        <v>64</v>
      </c>
      <c r="J945" s="2" t="s">
        <v>16</v>
      </c>
      <c r="K945" s="2" t="s">
        <v>22</v>
      </c>
      <c r="L945" s="2">
        <v>3</v>
      </c>
      <c r="M945" s="2">
        <v>41651</v>
      </c>
      <c r="N945" s="2">
        <v>5</v>
      </c>
      <c r="O945" s="2">
        <v>118705.35</v>
      </c>
      <c r="P945" s="6">
        <v>16420.11</v>
      </c>
    </row>
    <row r="946" spans="1:16" x14ac:dyDescent="0.3">
      <c r="A946" s="5" t="s">
        <v>1468</v>
      </c>
      <c r="B946" s="2" t="s">
        <v>478</v>
      </c>
      <c r="C946" s="2" t="str">
        <f t="shared" si="14"/>
        <v>April</v>
      </c>
      <c r="D946" s="2" t="s">
        <v>3</v>
      </c>
      <c r="E946" s="2" t="s">
        <v>117</v>
      </c>
      <c r="F946" s="2" t="s">
        <v>117</v>
      </c>
      <c r="G946" s="2" t="s">
        <v>10</v>
      </c>
      <c r="H946" s="2" t="s">
        <v>69</v>
      </c>
      <c r="I946" s="2" t="s">
        <v>69</v>
      </c>
      <c r="J946" s="2" t="s">
        <v>19</v>
      </c>
      <c r="K946" s="2" t="s">
        <v>22</v>
      </c>
      <c r="L946" s="2">
        <v>8</v>
      </c>
      <c r="M946" s="2">
        <v>20352</v>
      </c>
      <c r="N946" s="2">
        <v>10</v>
      </c>
      <c r="O946" s="2">
        <v>146534.39999999999</v>
      </c>
      <c r="P946" s="6">
        <v>40232.230000000003</v>
      </c>
    </row>
    <row r="947" spans="1:16" x14ac:dyDescent="0.3">
      <c r="A947" s="5" t="s">
        <v>1469</v>
      </c>
      <c r="B947" s="2" t="s">
        <v>466</v>
      </c>
      <c r="C947" s="2" t="str">
        <f t="shared" si="14"/>
        <v>December</v>
      </c>
      <c r="D947" s="2" t="s">
        <v>2</v>
      </c>
      <c r="E947" s="2" t="s">
        <v>103</v>
      </c>
      <c r="F947" s="2" t="s">
        <v>104</v>
      </c>
      <c r="G947" s="2" t="s">
        <v>10</v>
      </c>
      <c r="H947" s="2" t="s">
        <v>83</v>
      </c>
      <c r="I947" s="2" t="s">
        <v>83</v>
      </c>
      <c r="J947" s="2" t="s">
        <v>13</v>
      </c>
      <c r="K947" s="2" t="s">
        <v>21</v>
      </c>
      <c r="L947" s="2">
        <v>3</v>
      </c>
      <c r="M947" s="2">
        <v>38197</v>
      </c>
      <c r="N947" s="2">
        <v>0</v>
      </c>
      <c r="O947" s="2">
        <v>114591</v>
      </c>
      <c r="P947" s="6">
        <v>15979.34</v>
      </c>
    </row>
    <row r="948" spans="1:16" x14ac:dyDescent="0.3">
      <c r="A948" s="5" t="s">
        <v>1470</v>
      </c>
      <c r="B948" s="2" t="s">
        <v>771</v>
      </c>
      <c r="C948" s="2" t="str">
        <f t="shared" si="14"/>
        <v>August</v>
      </c>
      <c r="D948" s="2" t="s">
        <v>4</v>
      </c>
      <c r="E948" s="2" t="s">
        <v>62</v>
      </c>
      <c r="F948" s="2" t="s">
        <v>63</v>
      </c>
      <c r="G948" s="2" t="s">
        <v>8</v>
      </c>
      <c r="H948" s="2" t="s">
        <v>133</v>
      </c>
      <c r="I948" s="2" t="s">
        <v>133</v>
      </c>
      <c r="J948" s="2" t="s">
        <v>19</v>
      </c>
      <c r="K948" s="2" t="s">
        <v>22</v>
      </c>
      <c r="L948" s="2">
        <v>6</v>
      </c>
      <c r="M948" s="2">
        <v>6220</v>
      </c>
      <c r="N948" s="2">
        <v>0</v>
      </c>
      <c r="O948" s="2">
        <v>37320</v>
      </c>
      <c r="P948" s="6">
        <v>3322.13</v>
      </c>
    </row>
    <row r="949" spans="1:16" x14ac:dyDescent="0.3">
      <c r="A949" s="5" t="s">
        <v>1471</v>
      </c>
      <c r="B949" s="2" t="s">
        <v>1472</v>
      </c>
      <c r="C949" s="2" t="str">
        <f t="shared" si="14"/>
        <v>January</v>
      </c>
      <c r="D949" s="2" t="s">
        <v>4</v>
      </c>
      <c r="E949" s="2" t="s">
        <v>67</v>
      </c>
      <c r="F949" s="2" t="s">
        <v>68</v>
      </c>
      <c r="G949" s="2" t="s">
        <v>9</v>
      </c>
      <c r="H949" s="2" t="s">
        <v>90</v>
      </c>
      <c r="I949" s="2" t="s">
        <v>90</v>
      </c>
      <c r="J949" s="2" t="s">
        <v>17</v>
      </c>
      <c r="K949" s="2" t="s">
        <v>21</v>
      </c>
      <c r="L949" s="2">
        <v>10</v>
      </c>
      <c r="M949" s="2">
        <v>1214</v>
      </c>
      <c r="N949" s="2">
        <v>0</v>
      </c>
      <c r="O949" s="2">
        <v>12140</v>
      </c>
      <c r="P949" s="6">
        <v>2015.44</v>
      </c>
    </row>
    <row r="950" spans="1:16" x14ac:dyDescent="0.3">
      <c r="A950" s="5" t="s">
        <v>1473</v>
      </c>
      <c r="B950" s="2" t="s">
        <v>144</v>
      </c>
      <c r="C950" s="2" t="str">
        <f t="shared" si="14"/>
        <v>January</v>
      </c>
      <c r="D950" s="2" t="s">
        <v>4</v>
      </c>
      <c r="E950" s="2" t="s">
        <v>67</v>
      </c>
      <c r="F950" s="2" t="s">
        <v>68</v>
      </c>
      <c r="G950" s="2" t="s">
        <v>10</v>
      </c>
      <c r="H950" s="2" t="s">
        <v>54</v>
      </c>
      <c r="I950" s="2" t="s">
        <v>54</v>
      </c>
      <c r="J950" s="2" t="s">
        <v>19</v>
      </c>
      <c r="K950" s="2" t="s">
        <v>22</v>
      </c>
      <c r="L950" s="2">
        <v>7</v>
      </c>
      <c r="M950" s="2">
        <v>8221</v>
      </c>
      <c r="N950" s="2">
        <v>10</v>
      </c>
      <c r="O950" s="2">
        <v>51792.3</v>
      </c>
      <c r="P950" s="6">
        <v>15051.9</v>
      </c>
    </row>
    <row r="951" spans="1:16" x14ac:dyDescent="0.3">
      <c r="A951" s="5" t="s">
        <v>1474</v>
      </c>
      <c r="B951" s="2" t="s">
        <v>794</v>
      </c>
      <c r="C951" s="2" t="str">
        <f t="shared" si="14"/>
        <v>November</v>
      </c>
      <c r="D951" s="2" t="s">
        <v>4</v>
      </c>
      <c r="E951" s="2" t="s">
        <v>62</v>
      </c>
      <c r="F951" s="2" t="s">
        <v>63</v>
      </c>
      <c r="G951" s="2" t="s">
        <v>10</v>
      </c>
      <c r="H951" s="2" t="s">
        <v>54</v>
      </c>
      <c r="I951" s="2" t="s">
        <v>54</v>
      </c>
      <c r="J951" s="2" t="s">
        <v>15</v>
      </c>
      <c r="K951" s="2" t="s">
        <v>21</v>
      </c>
      <c r="L951" s="2">
        <v>7</v>
      </c>
      <c r="M951" s="2">
        <v>29626</v>
      </c>
      <c r="N951" s="2">
        <v>15</v>
      </c>
      <c r="O951" s="2">
        <v>176274.7</v>
      </c>
      <c r="P951" s="6">
        <v>30418.89</v>
      </c>
    </row>
    <row r="952" spans="1:16" x14ac:dyDescent="0.3">
      <c r="A952" s="5" t="s">
        <v>1475</v>
      </c>
      <c r="B952" s="2" t="s">
        <v>1124</v>
      </c>
      <c r="C952" s="2" t="str">
        <f t="shared" si="14"/>
        <v>March</v>
      </c>
      <c r="D952" s="2" t="s">
        <v>4</v>
      </c>
      <c r="E952" s="2" t="s">
        <v>62</v>
      </c>
      <c r="F952" s="2" t="s">
        <v>63</v>
      </c>
      <c r="G952" s="2" t="s">
        <v>10</v>
      </c>
      <c r="H952" s="2" t="s">
        <v>69</v>
      </c>
      <c r="I952" s="2" t="s">
        <v>69</v>
      </c>
      <c r="J952" s="2" t="s">
        <v>16</v>
      </c>
      <c r="K952" s="2" t="s">
        <v>21</v>
      </c>
      <c r="L952" s="2">
        <v>3</v>
      </c>
      <c r="M952" s="2">
        <v>16927</v>
      </c>
      <c r="N952" s="2">
        <v>0</v>
      </c>
      <c r="O952" s="2">
        <v>50781</v>
      </c>
      <c r="P952" s="6">
        <v>4603.54</v>
      </c>
    </row>
    <row r="953" spans="1:16" x14ac:dyDescent="0.3">
      <c r="A953" s="5" t="s">
        <v>1476</v>
      </c>
      <c r="B953" s="2" t="s">
        <v>1111</v>
      </c>
      <c r="C953" s="2" t="str">
        <f t="shared" si="14"/>
        <v>June</v>
      </c>
      <c r="D953" s="2" t="s">
        <v>2</v>
      </c>
      <c r="E953" s="2" t="s">
        <v>81</v>
      </c>
      <c r="F953" s="2" t="s">
        <v>82</v>
      </c>
      <c r="G953" s="2" t="s">
        <v>9</v>
      </c>
      <c r="H953" s="2" t="s">
        <v>72</v>
      </c>
      <c r="I953" s="2" t="s">
        <v>72</v>
      </c>
      <c r="J953" s="2" t="s">
        <v>14</v>
      </c>
      <c r="K953" s="2" t="s">
        <v>22</v>
      </c>
      <c r="L953" s="2">
        <v>10</v>
      </c>
      <c r="M953" s="2">
        <v>29482</v>
      </c>
      <c r="N953" s="2">
        <v>5</v>
      </c>
      <c r="O953" s="2">
        <v>280079</v>
      </c>
      <c r="P953" s="6">
        <v>47848.22</v>
      </c>
    </row>
    <row r="954" spans="1:16" x14ac:dyDescent="0.3">
      <c r="A954" s="5" t="s">
        <v>1477</v>
      </c>
      <c r="B954" s="2" t="s">
        <v>1478</v>
      </c>
      <c r="C954" s="2" t="str">
        <f t="shared" si="14"/>
        <v>April</v>
      </c>
      <c r="D954" s="2" t="s">
        <v>2</v>
      </c>
      <c r="E954" s="2" t="s">
        <v>81</v>
      </c>
      <c r="F954" s="2" t="s">
        <v>82</v>
      </c>
      <c r="G954" s="2" t="s">
        <v>9</v>
      </c>
      <c r="H954" s="2" t="s">
        <v>90</v>
      </c>
      <c r="I954" s="2" t="s">
        <v>90</v>
      </c>
      <c r="J954" s="2" t="s">
        <v>12</v>
      </c>
      <c r="K954" s="2" t="s">
        <v>21</v>
      </c>
      <c r="L954" s="2">
        <v>4</v>
      </c>
      <c r="M954" s="2">
        <v>23926</v>
      </c>
      <c r="N954" s="2">
        <v>20</v>
      </c>
      <c r="O954" s="2">
        <v>76563.199999999997</v>
      </c>
      <c r="P954" s="6">
        <v>10963.3</v>
      </c>
    </row>
    <row r="955" spans="1:16" x14ac:dyDescent="0.3">
      <c r="A955" s="5" t="s">
        <v>1479</v>
      </c>
      <c r="B955" s="2" t="s">
        <v>994</v>
      </c>
      <c r="C955" s="2" t="str">
        <f t="shared" si="14"/>
        <v>June</v>
      </c>
      <c r="D955" s="2" t="s">
        <v>3</v>
      </c>
      <c r="E955" s="2" t="s">
        <v>117</v>
      </c>
      <c r="F955" s="2" t="s">
        <v>117</v>
      </c>
      <c r="G955" s="2" t="s">
        <v>8</v>
      </c>
      <c r="H955" s="2" t="s">
        <v>64</v>
      </c>
      <c r="I955" s="2" t="s">
        <v>64</v>
      </c>
      <c r="J955" s="2" t="s">
        <v>14</v>
      </c>
      <c r="K955" s="2" t="s">
        <v>21</v>
      </c>
      <c r="L955" s="2">
        <v>10</v>
      </c>
      <c r="M955" s="2">
        <v>34170</v>
      </c>
      <c r="N955" s="2">
        <v>0</v>
      </c>
      <c r="O955" s="2">
        <v>341700</v>
      </c>
      <c r="P955" s="6">
        <v>84254.13</v>
      </c>
    </row>
    <row r="956" spans="1:16" x14ac:dyDescent="0.3">
      <c r="A956" s="5" t="s">
        <v>1480</v>
      </c>
      <c r="B956" s="2" t="s">
        <v>1481</v>
      </c>
      <c r="C956" s="2" t="str">
        <f t="shared" si="14"/>
        <v>September</v>
      </c>
      <c r="D956" s="2" t="s">
        <v>3</v>
      </c>
      <c r="E956" s="2" t="s">
        <v>75</v>
      </c>
      <c r="F956" s="2" t="s">
        <v>75</v>
      </c>
      <c r="G956" s="2" t="s">
        <v>10</v>
      </c>
      <c r="H956" s="2" t="s">
        <v>69</v>
      </c>
      <c r="I956" s="2" t="s">
        <v>69</v>
      </c>
      <c r="J956" s="2" t="s">
        <v>13</v>
      </c>
      <c r="K956" s="2" t="s">
        <v>22</v>
      </c>
      <c r="L956" s="2">
        <v>5</v>
      </c>
      <c r="M956" s="2">
        <v>4036</v>
      </c>
      <c r="N956" s="2">
        <v>0</v>
      </c>
      <c r="O956" s="2">
        <v>20180</v>
      </c>
      <c r="P956" s="6">
        <v>2087.79</v>
      </c>
    </row>
    <row r="957" spans="1:16" x14ac:dyDescent="0.3">
      <c r="A957" s="5" t="s">
        <v>1482</v>
      </c>
      <c r="B957" s="2" t="s">
        <v>452</v>
      </c>
      <c r="C957" s="2" t="str">
        <f t="shared" si="14"/>
        <v>February</v>
      </c>
      <c r="D957" s="2" t="s">
        <v>2</v>
      </c>
      <c r="E957" s="2" t="s">
        <v>103</v>
      </c>
      <c r="F957" s="2" t="s">
        <v>104</v>
      </c>
      <c r="G957" s="2" t="s">
        <v>9</v>
      </c>
      <c r="H957" s="2" t="s">
        <v>126</v>
      </c>
      <c r="I957" s="2" t="s">
        <v>126</v>
      </c>
      <c r="J957" s="2" t="s">
        <v>17</v>
      </c>
      <c r="K957" s="2" t="s">
        <v>21</v>
      </c>
      <c r="L957" s="2">
        <v>1</v>
      </c>
      <c r="M957" s="2">
        <v>37292</v>
      </c>
      <c r="N957" s="2">
        <v>0</v>
      </c>
      <c r="O957" s="2">
        <v>37292</v>
      </c>
      <c r="P957" s="6">
        <v>8911.7000000000007</v>
      </c>
    </row>
    <row r="958" spans="1:16" x14ac:dyDescent="0.3">
      <c r="A958" s="5" t="s">
        <v>1483</v>
      </c>
      <c r="B958" s="2" t="s">
        <v>1484</v>
      </c>
      <c r="C958" s="2" t="str">
        <f t="shared" si="14"/>
        <v>February</v>
      </c>
      <c r="D958" s="2" t="s">
        <v>5</v>
      </c>
      <c r="E958" s="2" t="s">
        <v>57</v>
      </c>
      <c r="F958" s="2" t="s">
        <v>58</v>
      </c>
      <c r="G958" s="2" t="s">
        <v>10</v>
      </c>
      <c r="H958" s="2" t="s">
        <v>83</v>
      </c>
      <c r="I958" s="2" t="s">
        <v>83</v>
      </c>
      <c r="J958" s="2" t="s">
        <v>17</v>
      </c>
      <c r="K958" s="2" t="s">
        <v>22</v>
      </c>
      <c r="L958" s="2">
        <v>7</v>
      </c>
      <c r="M958" s="2">
        <v>34403</v>
      </c>
      <c r="N958" s="2">
        <v>0</v>
      </c>
      <c r="O958" s="2">
        <v>240821</v>
      </c>
      <c r="P958" s="6">
        <v>31822.25</v>
      </c>
    </row>
    <row r="959" spans="1:16" x14ac:dyDescent="0.3">
      <c r="A959" s="5" t="s">
        <v>1485</v>
      </c>
      <c r="B959" s="2" t="s">
        <v>689</v>
      </c>
      <c r="C959" s="2" t="str">
        <f t="shared" si="14"/>
        <v>June</v>
      </c>
      <c r="D959" s="2" t="s">
        <v>5</v>
      </c>
      <c r="E959" s="2" t="s">
        <v>52</v>
      </c>
      <c r="F959" s="2" t="s">
        <v>53</v>
      </c>
      <c r="G959" s="2" t="s">
        <v>9</v>
      </c>
      <c r="H959" s="2" t="s">
        <v>126</v>
      </c>
      <c r="I959" s="2" t="s">
        <v>126</v>
      </c>
      <c r="J959" s="2" t="s">
        <v>14</v>
      </c>
      <c r="K959" s="2" t="s">
        <v>22</v>
      </c>
      <c r="L959" s="2">
        <v>1</v>
      </c>
      <c r="M959" s="2">
        <v>28500</v>
      </c>
      <c r="N959" s="2">
        <v>15</v>
      </c>
      <c r="O959" s="2">
        <v>24225</v>
      </c>
      <c r="P959" s="6">
        <v>5308.16</v>
      </c>
    </row>
    <row r="960" spans="1:16" x14ac:dyDescent="0.3">
      <c r="A960" s="5" t="s">
        <v>1486</v>
      </c>
      <c r="B960" s="2" t="s">
        <v>291</v>
      </c>
      <c r="C960" s="2" t="str">
        <f t="shared" si="14"/>
        <v>July</v>
      </c>
      <c r="D960" s="2" t="s">
        <v>4</v>
      </c>
      <c r="E960" s="2" t="s">
        <v>62</v>
      </c>
      <c r="F960" s="2" t="s">
        <v>63</v>
      </c>
      <c r="G960" s="2" t="s">
        <v>9</v>
      </c>
      <c r="H960" s="2" t="s">
        <v>59</v>
      </c>
      <c r="I960" s="2" t="s">
        <v>59</v>
      </c>
      <c r="J960" s="2" t="s">
        <v>12</v>
      </c>
      <c r="K960" s="2" t="s">
        <v>22</v>
      </c>
      <c r="L960" s="2">
        <v>9</v>
      </c>
      <c r="M960" s="2">
        <v>7426</v>
      </c>
      <c r="N960" s="2">
        <v>15</v>
      </c>
      <c r="O960" s="2">
        <v>56808.9</v>
      </c>
      <c r="P960" s="6">
        <v>14423.52</v>
      </c>
    </row>
    <row r="961" spans="1:16" x14ac:dyDescent="0.3">
      <c r="A961" s="5" t="s">
        <v>1487</v>
      </c>
      <c r="B961" s="2" t="s">
        <v>165</v>
      </c>
      <c r="C961" s="2" t="str">
        <f t="shared" si="14"/>
        <v>February</v>
      </c>
      <c r="D961" s="2" t="s">
        <v>2</v>
      </c>
      <c r="E961" s="2" t="s">
        <v>81</v>
      </c>
      <c r="F961" s="2" t="s">
        <v>82</v>
      </c>
      <c r="G961" s="2" t="s">
        <v>10</v>
      </c>
      <c r="H961" s="2" t="s">
        <v>100</v>
      </c>
      <c r="I961" s="2" t="s">
        <v>100</v>
      </c>
      <c r="J961" s="2" t="s">
        <v>19</v>
      </c>
      <c r="K961" s="2" t="s">
        <v>21</v>
      </c>
      <c r="L961" s="2">
        <v>5</v>
      </c>
      <c r="M961" s="2">
        <v>9561</v>
      </c>
      <c r="N961" s="2">
        <v>15</v>
      </c>
      <c r="O961" s="2">
        <v>40634.25</v>
      </c>
      <c r="P961" s="6">
        <v>2931.8</v>
      </c>
    </row>
    <row r="962" spans="1:16" x14ac:dyDescent="0.3">
      <c r="A962" s="5" t="s">
        <v>1488</v>
      </c>
      <c r="B962" s="2" t="s">
        <v>1489</v>
      </c>
      <c r="C962" s="2" t="str">
        <f t="shared" si="14"/>
        <v>August</v>
      </c>
      <c r="D962" s="2" t="s">
        <v>3</v>
      </c>
      <c r="E962" s="2" t="s">
        <v>75</v>
      </c>
      <c r="F962" s="2" t="s">
        <v>75</v>
      </c>
      <c r="G962" s="2" t="s">
        <v>9</v>
      </c>
      <c r="H962" s="2" t="s">
        <v>72</v>
      </c>
      <c r="I962" s="2" t="s">
        <v>72</v>
      </c>
      <c r="J962" s="2" t="s">
        <v>14</v>
      </c>
      <c r="K962" s="2" t="s">
        <v>22</v>
      </c>
      <c r="L962" s="2">
        <v>5</v>
      </c>
      <c r="M962" s="2">
        <v>13330</v>
      </c>
      <c r="N962" s="2">
        <v>20</v>
      </c>
      <c r="O962" s="2">
        <v>53320</v>
      </c>
      <c r="P962" s="6">
        <v>6480.64</v>
      </c>
    </row>
    <row r="963" spans="1:16" x14ac:dyDescent="0.3">
      <c r="A963" s="5" t="s">
        <v>1490</v>
      </c>
      <c r="B963" s="2" t="s">
        <v>141</v>
      </c>
      <c r="C963" s="2" t="str">
        <f t="shared" ref="C963:C1001" si="15">TEXT(B963,"mmmm")</f>
        <v>March</v>
      </c>
      <c r="D963" s="2" t="s">
        <v>2</v>
      </c>
      <c r="E963" s="2" t="s">
        <v>103</v>
      </c>
      <c r="F963" s="2" t="s">
        <v>104</v>
      </c>
      <c r="G963" s="2" t="s">
        <v>8</v>
      </c>
      <c r="H963" s="2" t="s">
        <v>64</v>
      </c>
      <c r="I963" s="2" t="s">
        <v>64</v>
      </c>
      <c r="J963" s="2" t="s">
        <v>16</v>
      </c>
      <c r="K963" s="2" t="s">
        <v>22</v>
      </c>
      <c r="L963" s="2">
        <v>3</v>
      </c>
      <c r="M963" s="2">
        <v>47743</v>
      </c>
      <c r="N963" s="2">
        <v>20</v>
      </c>
      <c r="O963" s="2">
        <v>114583.2</v>
      </c>
      <c r="P963" s="6">
        <v>15404.06</v>
      </c>
    </row>
    <row r="964" spans="1:16" x14ac:dyDescent="0.3">
      <c r="A964" s="5" t="s">
        <v>1491</v>
      </c>
      <c r="B964" s="2" t="s">
        <v>1411</v>
      </c>
      <c r="C964" s="2" t="str">
        <f t="shared" si="15"/>
        <v>May</v>
      </c>
      <c r="D964" s="2" t="s">
        <v>5</v>
      </c>
      <c r="E964" s="2" t="s">
        <v>52</v>
      </c>
      <c r="F964" s="2" t="s">
        <v>53</v>
      </c>
      <c r="G964" s="2" t="s">
        <v>8</v>
      </c>
      <c r="H964" s="2" t="s">
        <v>76</v>
      </c>
      <c r="I964" s="2" t="s">
        <v>76</v>
      </c>
      <c r="J964" s="2" t="s">
        <v>19</v>
      </c>
      <c r="K964" s="2" t="s">
        <v>21</v>
      </c>
      <c r="L964" s="2">
        <v>10</v>
      </c>
      <c r="M964" s="2">
        <v>211</v>
      </c>
      <c r="N964" s="2">
        <v>10</v>
      </c>
      <c r="O964" s="2">
        <v>1899</v>
      </c>
      <c r="P964" s="6">
        <v>429.68</v>
      </c>
    </row>
    <row r="965" spans="1:16" x14ac:dyDescent="0.3">
      <c r="A965" s="5" t="s">
        <v>1492</v>
      </c>
      <c r="B965" s="2" t="s">
        <v>1247</v>
      </c>
      <c r="C965" s="2" t="str">
        <f t="shared" si="15"/>
        <v>March</v>
      </c>
      <c r="D965" s="2" t="s">
        <v>2</v>
      </c>
      <c r="E965" s="2" t="s">
        <v>103</v>
      </c>
      <c r="F965" s="2" t="s">
        <v>104</v>
      </c>
      <c r="G965" s="2" t="s">
        <v>10</v>
      </c>
      <c r="H965" s="2" t="s">
        <v>69</v>
      </c>
      <c r="I965" s="2" t="s">
        <v>69</v>
      </c>
      <c r="J965" s="2" t="s">
        <v>16</v>
      </c>
      <c r="K965" s="2" t="s">
        <v>22</v>
      </c>
      <c r="L965" s="2">
        <v>2</v>
      </c>
      <c r="M965" s="2">
        <v>18605</v>
      </c>
      <c r="N965" s="2">
        <v>0</v>
      </c>
      <c r="O965" s="2">
        <v>37210</v>
      </c>
      <c r="P965" s="6">
        <v>7647.75</v>
      </c>
    </row>
    <row r="966" spans="1:16" x14ac:dyDescent="0.3">
      <c r="A966" s="5" t="s">
        <v>1493</v>
      </c>
      <c r="B966" s="2" t="s">
        <v>1240</v>
      </c>
      <c r="C966" s="2" t="str">
        <f t="shared" si="15"/>
        <v>October</v>
      </c>
      <c r="D966" s="2" t="s">
        <v>5</v>
      </c>
      <c r="E966" s="2" t="s">
        <v>57</v>
      </c>
      <c r="F966" s="2" t="s">
        <v>58</v>
      </c>
      <c r="G966" s="2" t="s">
        <v>9</v>
      </c>
      <c r="H966" s="2" t="s">
        <v>126</v>
      </c>
      <c r="I966" s="2" t="s">
        <v>126</v>
      </c>
      <c r="J966" s="2" t="s">
        <v>16</v>
      </c>
      <c r="K966" s="2" t="s">
        <v>21</v>
      </c>
      <c r="L966" s="2">
        <v>8</v>
      </c>
      <c r="M966" s="2">
        <v>22009</v>
      </c>
      <c r="N966" s="2">
        <v>20</v>
      </c>
      <c r="O966" s="2">
        <v>140857.60000000001</v>
      </c>
      <c r="P966" s="6">
        <v>26001.24</v>
      </c>
    </row>
    <row r="967" spans="1:16" x14ac:dyDescent="0.3">
      <c r="A967" s="5" t="s">
        <v>1494</v>
      </c>
      <c r="B967" s="2" t="s">
        <v>784</v>
      </c>
      <c r="C967" s="2" t="str">
        <f t="shared" si="15"/>
        <v>December</v>
      </c>
      <c r="D967" s="2" t="s">
        <v>5</v>
      </c>
      <c r="E967" s="2" t="s">
        <v>52</v>
      </c>
      <c r="F967" s="2" t="s">
        <v>53</v>
      </c>
      <c r="G967" s="2" t="s">
        <v>9</v>
      </c>
      <c r="H967" s="2" t="s">
        <v>59</v>
      </c>
      <c r="I967" s="2" t="s">
        <v>59</v>
      </c>
      <c r="J967" s="2" t="s">
        <v>16</v>
      </c>
      <c r="K967" s="2" t="s">
        <v>22</v>
      </c>
      <c r="L967" s="2">
        <v>9</v>
      </c>
      <c r="M967" s="2">
        <v>387</v>
      </c>
      <c r="N967" s="2">
        <v>0</v>
      </c>
      <c r="O967" s="2">
        <v>3483</v>
      </c>
      <c r="P967" s="6">
        <v>254.08</v>
      </c>
    </row>
    <row r="968" spans="1:16" x14ac:dyDescent="0.3">
      <c r="A968" s="5" t="s">
        <v>1495</v>
      </c>
      <c r="B968" s="2" t="s">
        <v>213</v>
      </c>
      <c r="C968" s="2" t="str">
        <f t="shared" si="15"/>
        <v>May</v>
      </c>
      <c r="D968" s="2" t="s">
        <v>2</v>
      </c>
      <c r="E968" s="2" t="s">
        <v>81</v>
      </c>
      <c r="F968" s="2" t="s">
        <v>82</v>
      </c>
      <c r="G968" s="2" t="s">
        <v>8</v>
      </c>
      <c r="H968" s="2" t="s">
        <v>76</v>
      </c>
      <c r="I968" s="2" t="s">
        <v>76</v>
      </c>
      <c r="J968" s="2" t="s">
        <v>15</v>
      </c>
      <c r="K968" s="2" t="s">
        <v>22</v>
      </c>
      <c r="L968" s="2">
        <v>9</v>
      </c>
      <c r="M968" s="2">
        <v>30285</v>
      </c>
      <c r="N968" s="2">
        <v>15</v>
      </c>
      <c r="O968" s="2">
        <v>231680.25</v>
      </c>
      <c r="P968" s="6">
        <v>68928.86</v>
      </c>
    </row>
    <row r="969" spans="1:16" x14ac:dyDescent="0.3">
      <c r="A969" s="5" t="s">
        <v>1496</v>
      </c>
      <c r="B969" s="2" t="s">
        <v>236</v>
      </c>
      <c r="C969" s="2" t="str">
        <f t="shared" si="15"/>
        <v>February</v>
      </c>
      <c r="D969" s="2" t="s">
        <v>5</v>
      </c>
      <c r="E969" s="2" t="s">
        <v>57</v>
      </c>
      <c r="F969" s="2" t="s">
        <v>58</v>
      </c>
      <c r="G969" s="2" t="s">
        <v>9</v>
      </c>
      <c r="H969" s="2" t="s">
        <v>90</v>
      </c>
      <c r="I969" s="2" t="s">
        <v>90</v>
      </c>
      <c r="J969" s="2" t="s">
        <v>19</v>
      </c>
      <c r="K969" s="2" t="s">
        <v>21</v>
      </c>
      <c r="L969" s="2">
        <v>7</v>
      </c>
      <c r="M969" s="2">
        <v>44794</v>
      </c>
      <c r="N969" s="2">
        <v>10</v>
      </c>
      <c r="O969" s="2">
        <v>282202.2</v>
      </c>
      <c r="P969" s="6">
        <v>80750.7</v>
      </c>
    </row>
    <row r="970" spans="1:16" x14ac:dyDescent="0.3">
      <c r="A970" s="5" t="s">
        <v>1497</v>
      </c>
      <c r="B970" s="2" t="s">
        <v>1498</v>
      </c>
      <c r="C970" s="2" t="str">
        <f t="shared" si="15"/>
        <v>February</v>
      </c>
      <c r="D970" s="2" t="s">
        <v>4</v>
      </c>
      <c r="E970" s="2" t="s">
        <v>62</v>
      </c>
      <c r="F970" s="2" t="s">
        <v>63</v>
      </c>
      <c r="G970" s="2" t="s">
        <v>8</v>
      </c>
      <c r="H970" s="2" t="s">
        <v>64</v>
      </c>
      <c r="I970" s="2" t="s">
        <v>64</v>
      </c>
      <c r="J970" s="2" t="s">
        <v>17</v>
      </c>
      <c r="K970" s="2" t="s">
        <v>21</v>
      </c>
      <c r="L970" s="2">
        <v>4</v>
      </c>
      <c r="M970" s="2">
        <v>6178</v>
      </c>
      <c r="N970" s="2">
        <v>10</v>
      </c>
      <c r="O970" s="2">
        <v>22240.799999999999</v>
      </c>
      <c r="P970" s="6">
        <v>3499.25</v>
      </c>
    </row>
    <row r="971" spans="1:16" x14ac:dyDescent="0.3">
      <c r="A971" s="5" t="s">
        <v>1499</v>
      </c>
      <c r="B971" s="2" t="s">
        <v>1221</v>
      </c>
      <c r="C971" s="2" t="str">
        <f t="shared" si="15"/>
        <v>November</v>
      </c>
      <c r="D971" s="2" t="s">
        <v>4</v>
      </c>
      <c r="E971" s="2" t="s">
        <v>62</v>
      </c>
      <c r="F971" s="2" t="s">
        <v>63</v>
      </c>
      <c r="G971" s="2" t="s">
        <v>9</v>
      </c>
      <c r="H971" s="2" t="s">
        <v>90</v>
      </c>
      <c r="I971" s="2" t="s">
        <v>90</v>
      </c>
      <c r="J971" s="2" t="s">
        <v>16</v>
      </c>
      <c r="K971" s="2" t="s">
        <v>22</v>
      </c>
      <c r="L971" s="2">
        <v>4</v>
      </c>
      <c r="M971" s="2">
        <v>12983</v>
      </c>
      <c r="N971" s="2">
        <v>5</v>
      </c>
      <c r="O971" s="2">
        <v>49335.4</v>
      </c>
      <c r="P971" s="6">
        <v>6298.7</v>
      </c>
    </row>
    <row r="972" spans="1:16" x14ac:dyDescent="0.3">
      <c r="A972" s="5" t="s">
        <v>1500</v>
      </c>
      <c r="B972" s="2" t="s">
        <v>426</v>
      </c>
      <c r="C972" s="2" t="str">
        <f t="shared" si="15"/>
        <v>March</v>
      </c>
      <c r="D972" s="2" t="s">
        <v>3</v>
      </c>
      <c r="E972" s="2" t="s">
        <v>117</v>
      </c>
      <c r="F972" s="2" t="s">
        <v>117</v>
      </c>
      <c r="G972" s="2" t="s">
        <v>8</v>
      </c>
      <c r="H972" s="2" t="s">
        <v>93</v>
      </c>
      <c r="I972" s="2" t="s">
        <v>93</v>
      </c>
      <c r="J972" s="2" t="s">
        <v>15</v>
      </c>
      <c r="K972" s="2" t="s">
        <v>22</v>
      </c>
      <c r="L972" s="2">
        <v>3</v>
      </c>
      <c r="M972" s="2">
        <v>34253</v>
      </c>
      <c r="N972" s="2">
        <v>10</v>
      </c>
      <c r="O972" s="2">
        <v>92483.1</v>
      </c>
      <c r="P972" s="6">
        <v>20194.419999999998</v>
      </c>
    </row>
    <row r="973" spans="1:16" x14ac:dyDescent="0.3">
      <c r="A973" s="5" t="s">
        <v>1501</v>
      </c>
      <c r="B973" s="2" t="s">
        <v>695</v>
      </c>
      <c r="C973" s="2" t="str">
        <f t="shared" si="15"/>
        <v>January</v>
      </c>
      <c r="D973" s="2" t="s">
        <v>3</v>
      </c>
      <c r="E973" s="2" t="s">
        <v>75</v>
      </c>
      <c r="F973" s="2" t="s">
        <v>75</v>
      </c>
      <c r="G973" s="2" t="s">
        <v>8</v>
      </c>
      <c r="H973" s="2" t="s">
        <v>64</v>
      </c>
      <c r="I973" s="2" t="s">
        <v>64</v>
      </c>
      <c r="J973" s="2" t="s">
        <v>18</v>
      </c>
      <c r="K973" s="2" t="s">
        <v>22</v>
      </c>
      <c r="L973" s="2">
        <v>5</v>
      </c>
      <c r="M973" s="2">
        <v>48706</v>
      </c>
      <c r="N973" s="2">
        <v>5</v>
      </c>
      <c r="O973" s="2">
        <v>231353.5</v>
      </c>
      <c r="P973" s="6">
        <v>21185.47</v>
      </c>
    </row>
    <row r="974" spans="1:16" x14ac:dyDescent="0.3">
      <c r="A974" s="5" t="s">
        <v>1502</v>
      </c>
      <c r="B974" s="2" t="s">
        <v>1358</v>
      </c>
      <c r="C974" s="2" t="str">
        <f t="shared" si="15"/>
        <v>April</v>
      </c>
      <c r="D974" s="2" t="s">
        <v>3</v>
      </c>
      <c r="E974" s="2" t="s">
        <v>117</v>
      </c>
      <c r="F974" s="2" t="s">
        <v>117</v>
      </c>
      <c r="G974" s="2" t="s">
        <v>8</v>
      </c>
      <c r="H974" s="2" t="s">
        <v>64</v>
      </c>
      <c r="I974" s="2" t="s">
        <v>64</v>
      </c>
      <c r="J974" s="2" t="s">
        <v>15</v>
      </c>
      <c r="K974" s="2" t="s">
        <v>21</v>
      </c>
      <c r="L974" s="2">
        <v>8</v>
      </c>
      <c r="M974" s="2">
        <v>17154</v>
      </c>
      <c r="N974" s="2">
        <v>5</v>
      </c>
      <c r="O974" s="2">
        <v>130370.4</v>
      </c>
      <c r="P974" s="6">
        <v>35187.440000000002</v>
      </c>
    </row>
    <row r="975" spans="1:16" x14ac:dyDescent="0.3">
      <c r="A975" s="5" t="s">
        <v>1503</v>
      </c>
      <c r="B975" s="2" t="s">
        <v>628</v>
      </c>
      <c r="C975" s="2" t="str">
        <f t="shared" si="15"/>
        <v>August</v>
      </c>
      <c r="D975" s="2" t="s">
        <v>4</v>
      </c>
      <c r="E975" s="2" t="s">
        <v>67</v>
      </c>
      <c r="F975" s="2" t="s">
        <v>68</v>
      </c>
      <c r="G975" s="2" t="s">
        <v>8</v>
      </c>
      <c r="H975" s="2" t="s">
        <v>93</v>
      </c>
      <c r="I975" s="2" t="s">
        <v>93</v>
      </c>
      <c r="J975" s="2" t="s">
        <v>17</v>
      </c>
      <c r="K975" s="2" t="s">
        <v>22</v>
      </c>
      <c r="L975" s="2">
        <v>9</v>
      </c>
      <c r="M975" s="2">
        <v>40665</v>
      </c>
      <c r="N975" s="2">
        <v>20</v>
      </c>
      <c r="O975" s="2">
        <v>292788</v>
      </c>
      <c r="P975" s="6">
        <v>40789.25</v>
      </c>
    </row>
    <row r="976" spans="1:16" x14ac:dyDescent="0.3">
      <c r="A976" s="5" t="s">
        <v>1504</v>
      </c>
      <c r="B976" s="2" t="s">
        <v>634</v>
      </c>
      <c r="C976" s="2" t="str">
        <f t="shared" si="15"/>
        <v>October</v>
      </c>
      <c r="D976" s="2" t="s">
        <v>3</v>
      </c>
      <c r="E976" s="2" t="s">
        <v>75</v>
      </c>
      <c r="F976" s="2" t="s">
        <v>75</v>
      </c>
      <c r="G976" s="2" t="s">
        <v>9</v>
      </c>
      <c r="H976" s="2" t="s">
        <v>90</v>
      </c>
      <c r="I976" s="2" t="s">
        <v>90</v>
      </c>
      <c r="J976" s="2" t="s">
        <v>15</v>
      </c>
      <c r="K976" s="2" t="s">
        <v>21</v>
      </c>
      <c r="L976" s="2">
        <v>9</v>
      </c>
      <c r="M976" s="2">
        <v>10282</v>
      </c>
      <c r="N976" s="2">
        <v>10</v>
      </c>
      <c r="O976" s="2">
        <v>83284.2</v>
      </c>
      <c r="P976" s="6">
        <v>22639.26</v>
      </c>
    </row>
    <row r="977" spans="1:16" x14ac:dyDescent="0.3">
      <c r="A977" s="5" t="s">
        <v>1505</v>
      </c>
      <c r="B977" s="2" t="s">
        <v>123</v>
      </c>
      <c r="C977" s="2" t="str">
        <f t="shared" si="15"/>
        <v>March</v>
      </c>
      <c r="D977" s="2" t="s">
        <v>2</v>
      </c>
      <c r="E977" s="2" t="s">
        <v>81</v>
      </c>
      <c r="F977" s="2" t="s">
        <v>82</v>
      </c>
      <c r="G977" s="2" t="s">
        <v>9</v>
      </c>
      <c r="H977" s="2" t="s">
        <v>126</v>
      </c>
      <c r="I977" s="2" t="s">
        <v>126</v>
      </c>
      <c r="J977" s="2" t="s">
        <v>13</v>
      </c>
      <c r="K977" s="2" t="s">
        <v>22</v>
      </c>
      <c r="L977" s="2">
        <v>9</v>
      </c>
      <c r="M977" s="2">
        <v>46012</v>
      </c>
      <c r="N977" s="2">
        <v>20</v>
      </c>
      <c r="O977" s="2">
        <v>331286.40000000002</v>
      </c>
      <c r="P977" s="6">
        <v>78832.13</v>
      </c>
    </row>
    <row r="978" spans="1:16" x14ac:dyDescent="0.3">
      <c r="A978" s="5" t="s">
        <v>1506</v>
      </c>
      <c r="B978" s="2" t="s">
        <v>1507</v>
      </c>
      <c r="C978" s="2" t="str">
        <f t="shared" si="15"/>
        <v>January</v>
      </c>
      <c r="D978" s="2" t="s">
        <v>5</v>
      </c>
      <c r="E978" s="2" t="s">
        <v>52</v>
      </c>
      <c r="F978" s="2" t="s">
        <v>53</v>
      </c>
      <c r="G978" s="2" t="s">
        <v>10</v>
      </c>
      <c r="H978" s="2" t="s">
        <v>83</v>
      </c>
      <c r="I978" s="2" t="s">
        <v>83</v>
      </c>
      <c r="J978" s="2" t="s">
        <v>17</v>
      </c>
      <c r="K978" s="2" t="s">
        <v>21</v>
      </c>
      <c r="L978" s="2">
        <v>8</v>
      </c>
      <c r="M978" s="2">
        <v>10046</v>
      </c>
      <c r="N978" s="2">
        <v>10</v>
      </c>
      <c r="O978" s="2">
        <v>72331.199999999997</v>
      </c>
      <c r="P978" s="6">
        <v>16261.62</v>
      </c>
    </row>
    <row r="979" spans="1:16" x14ac:dyDescent="0.3">
      <c r="A979" s="5" t="s">
        <v>1508</v>
      </c>
      <c r="B979" s="2" t="s">
        <v>1509</v>
      </c>
      <c r="C979" s="2" t="str">
        <f t="shared" si="15"/>
        <v>January</v>
      </c>
      <c r="D979" s="2" t="s">
        <v>5</v>
      </c>
      <c r="E979" s="2" t="s">
        <v>57</v>
      </c>
      <c r="F979" s="2" t="s">
        <v>58</v>
      </c>
      <c r="G979" s="2" t="s">
        <v>9</v>
      </c>
      <c r="H979" s="2" t="s">
        <v>126</v>
      </c>
      <c r="I979" s="2" t="s">
        <v>126</v>
      </c>
      <c r="J979" s="2" t="s">
        <v>12</v>
      </c>
      <c r="K979" s="2" t="s">
        <v>22</v>
      </c>
      <c r="L979" s="2">
        <v>7</v>
      </c>
      <c r="M979" s="2">
        <v>15493</v>
      </c>
      <c r="N979" s="2">
        <v>20</v>
      </c>
      <c r="O979" s="2">
        <v>86760.8</v>
      </c>
      <c r="P979" s="6">
        <v>18293.23</v>
      </c>
    </row>
    <row r="980" spans="1:16" x14ac:dyDescent="0.3">
      <c r="A980" s="5" t="s">
        <v>1510</v>
      </c>
      <c r="B980" s="2" t="s">
        <v>483</v>
      </c>
      <c r="C980" s="2" t="str">
        <f t="shared" si="15"/>
        <v>September</v>
      </c>
      <c r="D980" s="2" t="s">
        <v>3</v>
      </c>
      <c r="E980" s="2" t="s">
        <v>75</v>
      </c>
      <c r="F980" s="2" t="s">
        <v>75</v>
      </c>
      <c r="G980" s="2" t="s">
        <v>9</v>
      </c>
      <c r="H980" s="2" t="s">
        <v>126</v>
      </c>
      <c r="I980" s="2" t="s">
        <v>126</v>
      </c>
      <c r="J980" s="2" t="s">
        <v>18</v>
      </c>
      <c r="K980" s="2" t="s">
        <v>22</v>
      </c>
      <c r="L980" s="2">
        <v>5</v>
      </c>
      <c r="M980" s="2">
        <v>37201</v>
      </c>
      <c r="N980" s="2">
        <v>5</v>
      </c>
      <c r="O980" s="2">
        <v>176704.75</v>
      </c>
      <c r="P980" s="6">
        <v>51472.77</v>
      </c>
    </row>
    <row r="981" spans="1:16" x14ac:dyDescent="0.3">
      <c r="A981" s="5" t="s">
        <v>1511</v>
      </c>
      <c r="B981" s="2" t="s">
        <v>1284</v>
      </c>
      <c r="C981" s="2" t="str">
        <f t="shared" si="15"/>
        <v>March</v>
      </c>
      <c r="D981" s="2" t="s">
        <v>5</v>
      </c>
      <c r="E981" s="2" t="s">
        <v>57</v>
      </c>
      <c r="F981" s="2" t="s">
        <v>58</v>
      </c>
      <c r="G981" s="2" t="s">
        <v>9</v>
      </c>
      <c r="H981" s="2" t="s">
        <v>72</v>
      </c>
      <c r="I981" s="2" t="s">
        <v>72</v>
      </c>
      <c r="J981" s="2" t="s">
        <v>18</v>
      </c>
      <c r="K981" s="2" t="s">
        <v>22</v>
      </c>
      <c r="L981" s="2">
        <v>2</v>
      </c>
      <c r="M981" s="2">
        <v>39212</v>
      </c>
      <c r="N981" s="2">
        <v>5</v>
      </c>
      <c r="O981" s="2">
        <v>74502.8</v>
      </c>
      <c r="P981" s="6">
        <v>14241.83</v>
      </c>
    </row>
    <row r="982" spans="1:16" x14ac:dyDescent="0.3">
      <c r="A982" s="5" t="s">
        <v>1512</v>
      </c>
      <c r="B982" s="2" t="s">
        <v>1082</v>
      </c>
      <c r="C982" s="2" t="str">
        <f t="shared" si="15"/>
        <v>July</v>
      </c>
      <c r="D982" s="2" t="s">
        <v>5</v>
      </c>
      <c r="E982" s="2" t="s">
        <v>57</v>
      </c>
      <c r="F982" s="2" t="s">
        <v>58</v>
      </c>
      <c r="G982" s="2" t="s">
        <v>8</v>
      </c>
      <c r="H982" s="2" t="s">
        <v>76</v>
      </c>
      <c r="I982" s="2" t="s">
        <v>76</v>
      </c>
      <c r="J982" s="2" t="s">
        <v>13</v>
      </c>
      <c r="K982" s="2" t="s">
        <v>21</v>
      </c>
      <c r="L982" s="2">
        <v>3</v>
      </c>
      <c r="M982" s="2">
        <v>22306</v>
      </c>
      <c r="N982" s="2">
        <v>5</v>
      </c>
      <c r="O982" s="2">
        <v>63572.1</v>
      </c>
      <c r="P982" s="6">
        <v>17738.28</v>
      </c>
    </row>
    <row r="983" spans="1:16" x14ac:dyDescent="0.3">
      <c r="A983" s="5" t="s">
        <v>1513</v>
      </c>
      <c r="B983" s="2" t="s">
        <v>1011</v>
      </c>
      <c r="C983" s="2" t="str">
        <f t="shared" si="15"/>
        <v>October</v>
      </c>
      <c r="D983" s="2" t="s">
        <v>5</v>
      </c>
      <c r="E983" s="2" t="s">
        <v>57</v>
      </c>
      <c r="F983" s="2" t="s">
        <v>58</v>
      </c>
      <c r="G983" s="2" t="s">
        <v>8</v>
      </c>
      <c r="H983" s="2" t="s">
        <v>93</v>
      </c>
      <c r="I983" s="2" t="s">
        <v>93</v>
      </c>
      <c r="J983" s="2" t="s">
        <v>16</v>
      </c>
      <c r="K983" s="2" t="s">
        <v>22</v>
      </c>
      <c r="L983" s="2">
        <v>1</v>
      </c>
      <c r="M983" s="2">
        <v>28766</v>
      </c>
      <c r="N983" s="2">
        <v>0</v>
      </c>
      <c r="O983" s="2">
        <v>28766</v>
      </c>
      <c r="P983" s="6">
        <v>1543.14</v>
      </c>
    </row>
    <row r="984" spans="1:16" x14ac:dyDescent="0.3">
      <c r="A984" s="5" t="s">
        <v>1514</v>
      </c>
      <c r="B984" s="2" t="s">
        <v>601</v>
      </c>
      <c r="C984" s="2" t="str">
        <f t="shared" si="15"/>
        <v>November</v>
      </c>
      <c r="D984" s="2" t="s">
        <v>4</v>
      </c>
      <c r="E984" s="2" t="s">
        <v>62</v>
      </c>
      <c r="F984" s="2" t="s">
        <v>63</v>
      </c>
      <c r="G984" s="2" t="s">
        <v>9</v>
      </c>
      <c r="H984" s="2" t="s">
        <v>59</v>
      </c>
      <c r="I984" s="2" t="s">
        <v>59</v>
      </c>
      <c r="J984" s="2" t="s">
        <v>18</v>
      </c>
      <c r="K984" s="2" t="s">
        <v>21</v>
      </c>
      <c r="L984" s="2">
        <v>8</v>
      </c>
      <c r="M984" s="2">
        <v>30992</v>
      </c>
      <c r="N984" s="2">
        <v>5</v>
      </c>
      <c r="O984" s="2">
        <v>235539.20000000001</v>
      </c>
      <c r="P984" s="6">
        <v>40696.11</v>
      </c>
    </row>
    <row r="985" spans="1:16" x14ac:dyDescent="0.3">
      <c r="A985" s="5" t="s">
        <v>1515</v>
      </c>
      <c r="B985" s="2" t="s">
        <v>232</v>
      </c>
      <c r="C985" s="2" t="str">
        <f t="shared" si="15"/>
        <v>December</v>
      </c>
      <c r="D985" s="2" t="s">
        <v>5</v>
      </c>
      <c r="E985" s="2" t="s">
        <v>52</v>
      </c>
      <c r="F985" s="2" t="s">
        <v>53</v>
      </c>
      <c r="G985" s="2" t="s">
        <v>10</v>
      </c>
      <c r="H985" s="2" t="s">
        <v>100</v>
      </c>
      <c r="I985" s="2" t="s">
        <v>100</v>
      </c>
      <c r="J985" s="2" t="s">
        <v>17</v>
      </c>
      <c r="K985" s="2" t="s">
        <v>21</v>
      </c>
      <c r="L985" s="2">
        <v>9</v>
      </c>
      <c r="M985" s="2">
        <v>5993</v>
      </c>
      <c r="N985" s="2">
        <v>20</v>
      </c>
      <c r="O985" s="2">
        <v>43149.599999999999</v>
      </c>
      <c r="P985" s="6">
        <v>7327.04</v>
      </c>
    </row>
    <row r="986" spans="1:16" x14ac:dyDescent="0.3">
      <c r="A986" s="5" t="s">
        <v>1516</v>
      </c>
      <c r="B986" s="2" t="s">
        <v>554</v>
      </c>
      <c r="C986" s="2" t="str">
        <f t="shared" si="15"/>
        <v>February</v>
      </c>
      <c r="D986" s="2" t="s">
        <v>2</v>
      </c>
      <c r="E986" s="2" t="s">
        <v>81</v>
      </c>
      <c r="F986" s="2" t="s">
        <v>82</v>
      </c>
      <c r="G986" s="2" t="s">
        <v>9</v>
      </c>
      <c r="H986" s="2" t="s">
        <v>59</v>
      </c>
      <c r="I986" s="2" t="s">
        <v>59</v>
      </c>
      <c r="J986" s="2" t="s">
        <v>13</v>
      </c>
      <c r="K986" s="2" t="s">
        <v>21</v>
      </c>
      <c r="L986" s="2">
        <v>10</v>
      </c>
      <c r="M986" s="2">
        <v>22783</v>
      </c>
      <c r="N986" s="2">
        <v>15</v>
      </c>
      <c r="O986" s="2">
        <v>193655.5</v>
      </c>
      <c r="P986" s="6">
        <v>19882.04</v>
      </c>
    </row>
    <row r="987" spans="1:16" x14ac:dyDescent="0.3">
      <c r="A987" s="5" t="s">
        <v>1517</v>
      </c>
      <c r="B987" s="2" t="s">
        <v>574</v>
      </c>
      <c r="C987" s="2" t="str">
        <f t="shared" si="15"/>
        <v>June</v>
      </c>
      <c r="D987" s="2" t="s">
        <v>4</v>
      </c>
      <c r="E987" s="2" t="s">
        <v>62</v>
      </c>
      <c r="F987" s="2" t="s">
        <v>63</v>
      </c>
      <c r="G987" s="2" t="s">
        <v>9</v>
      </c>
      <c r="H987" s="2" t="s">
        <v>72</v>
      </c>
      <c r="I987" s="2" t="s">
        <v>72</v>
      </c>
      <c r="J987" s="2" t="s">
        <v>19</v>
      </c>
      <c r="K987" s="2" t="s">
        <v>21</v>
      </c>
      <c r="L987" s="2">
        <v>2</v>
      </c>
      <c r="M987" s="2">
        <v>43120</v>
      </c>
      <c r="N987" s="2">
        <v>5</v>
      </c>
      <c r="O987" s="2">
        <v>81928</v>
      </c>
      <c r="P987" s="6">
        <v>16696.740000000002</v>
      </c>
    </row>
    <row r="988" spans="1:16" x14ac:dyDescent="0.3">
      <c r="A988" s="5" t="s">
        <v>1518</v>
      </c>
      <c r="B988" s="2" t="s">
        <v>1519</v>
      </c>
      <c r="C988" s="2" t="str">
        <f t="shared" si="15"/>
        <v>January</v>
      </c>
      <c r="D988" s="2" t="s">
        <v>4</v>
      </c>
      <c r="E988" s="2" t="s">
        <v>67</v>
      </c>
      <c r="F988" s="2" t="s">
        <v>68</v>
      </c>
      <c r="G988" s="2" t="s">
        <v>9</v>
      </c>
      <c r="H988" s="2" t="s">
        <v>72</v>
      </c>
      <c r="I988" s="2" t="s">
        <v>72</v>
      </c>
      <c r="J988" s="2" t="s">
        <v>16</v>
      </c>
      <c r="K988" s="2" t="s">
        <v>21</v>
      </c>
      <c r="L988" s="2">
        <v>3</v>
      </c>
      <c r="M988" s="2">
        <v>28643</v>
      </c>
      <c r="N988" s="2">
        <v>15</v>
      </c>
      <c r="O988" s="2">
        <v>73039.649999999994</v>
      </c>
      <c r="P988" s="6">
        <v>12096.39</v>
      </c>
    </row>
    <row r="989" spans="1:16" x14ac:dyDescent="0.3">
      <c r="A989" s="5" t="s">
        <v>1520</v>
      </c>
      <c r="B989" s="2" t="s">
        <v>912</v>
      </c>
      <c r="C989" s="2" t="str">
        <f t="shared" si="15"/>
        <v>March</v>
      </c>
      <c r="D989" s="2" t="s">
        <v>3</v>
      </c>
      <c r="E989" s="2" t="s">
        <v>117</v>
      </c>
      <c r="F989" s="2" t="s">
        <v>117</v>
      </c>
      <c r="G989" s="2" t="s">
        <v>9</v>
      </c>
      <c r="H989" s="2" t="s">
        <v>72</v>
      </c>
      <c r="I989" s="2" t="s">
        <v>72</v>
      </c>
      <c r="J989" s="2" t="s">
        <v>17</v>
      </c>
      <c r="K989" s="2" t="s">
        <v>22</v>
      </c>
      <c r="L989" s="2">
        <v>10</v>
      </c>
      <c r="M989" s="2">
        <v>22270</v>
      </c>
      <c r="N989" s="2">
        <v>15</v>
      </c>
      <c r="O989" s="2">
        <v>189295</v>
      </c>
      <c r="P989" s="6">
        <v>17438.830000000002</v>
      </c>
    </row>
    <row r="990" spans="1:16" x14ac:dyDescent="0.3">
      <c r="A990" s="5" t="s">
        <v>1521</v>
      </c>
      <c r="B990" s="2" t="s">
        <v>1522</v>
      </c>
      <c r="C990" s="2" t="str">
        <f t="shared" si="15"/>
        <v>March</v>
      </c>
      <c r="D990" s="2" t="s">
        <v>2</v>
      </c>
      <c r="E990" s="2" t="s">
        <v>81</v>
      </c>
      <c r="F990" s="2" t="s">
        <v>82</v>
      </c>
      <c r="G990" s="2" t="s">
        <v>9</v>
      </c>
      <c r="H990" s="2" t="s">
        <v>90</v>
      </c>
      <c r="I990" s="2" t="s">
        <v>90</v>
      </c>
      <c r="J990" s="2" t="s">
        <v>15</v>
      </c>
      <c r="K990" s="2" t="s">
        <v>21</v>
      </c>
      <c r="L990" s="2">
        <v>3</v>
      </c>
      <c r="M990" s="2">
        <v>40387</v>
      </c>
      <c r="N990" s="2">
        <v>15</v>
      </c>
      <c r="O990" s="2">
        <v>102986.85</v>
      </c>
      <c r="P990" s="6">
        <v>29586.880000000001</v>
      </c>
    </row>
    <row r="991" spans="1:16" x14ac:dyDescent="0.3">
      <c r="A991" s="5" t="s">
        <v>1523</v>
      </c>
      <c r="B991" s="2" t="s">
        <v>200</v>
      </c>
      <c r="C991" s="2" t="str">
        <f t="shared" si="15"/>
        <v>May</v>
      </c>
      <c r="D991" s="2" t="s">
        <v>2</v>
      </c>
      <c r="E991" s="2" t="s">
        <v>81</v>
      </c>
      <c r="F991" s="2" t="s">
        <v>82</v>
      </c>
      <c r="G991" s="2" t="s">
        <v>10</v>
      </c>
      <c r="H991" s="2" t="s">
        <v>54</v>
      </c>
      <c r="I991" s="2" t="s">
        <v>54</v>
      </c>
      <c r="J991" s="2" t="s">
        <v>12</v>
      </c>
      <c r="K991" s="2" t="s">
        <v>21</v>
      </c>
      <c r="L991" s="2">
        <v>4</v>
      </c>
      <c r="M991" s="2">
        <v>16105</v>
      </c>
      <c r="N991" s="2">
        <v>20</v>
      </c>
      <c r="O991" s="2">
        <v>51536</v>
      </c>
      <c r="P991" s="6">
        <v>9632.14</v>
      </c>
    </row>
    <row r="992" spans="1:16" x14ac:dyDescent="0.3">
      <c r="A992" s="5" t="s">
        <v>1524</v>
      </c>
      <c r="B992" s="2" t="s">
        <v>455</v>
      </c>
      <c r="C992" s="2" t="str">
        <f t="shared" si="15"/>
        <v>January</v>
      </c>
      <c r="D992" s="2" t="s">
        <v>4</v>
      </c>
      <c r="E992" s="2" t="s">
        <v>62</v>
      </c>
      <c r="F992" s="2" t="s">
        <v>63</v>
      </c>
      <c r="G992" s="2" t="s">
        <v>8</v>
      </c>
      <c r="H992" s="2" t="s">
        <v>64</v>
      </c>
      <c r="I992" s="2" t="s">
        <v>64</v>
      </c>
      <c r="J992" s="2" t="s">
        <v>16</v>
      </c>
      <c r="K992" s="2" t="s">
        <v>22</v>
      </c>
      <c r="L992" s="2">
        <v>5</v>
      </c>
      <c r="M992" s="2">
        <v>28591</v>
      </c>
      <c r="N992" s="2">
        <v>5</v>
      </c>
      <c r="O992" s="2">
        <v>135807.25</v>
      </c>
      <c r="P992" s="6">
        <v>11815.97</v>
      </c>
    </row>
    <row r="993" spans="1:16" x14ac:dyDescent="0.3">
      <c r="A993" s="5" t="s">
        <v>1525</v>
      </c>
      <c r="B993" s="2" t="s">
        <v>1526</v>
      </c>
      <c r="C993" s="2" t="str">
        <f t="shared" si="15"/>
        <v>February</v>
      </c>
      <c r="D993" s="2" t="s">
        <v>4</v>
      </c>
      <c r="E993" s="2" t="s">
        <v>67</v>
      </c>
      <c r="F993" s="2" t="s">
        <v>68</v>
      </c>
      <c r="G993" s="2" t="s">
        <v>10</v>
      </c>
      <c r="H993" s="2" t="s">
        <v>54</v>
      </c>
      <c r="I993" s="2" t="s">
        <v>54</v>
      </c>
      <c r="J993" s="2" t="s">
        <v>12</v>
      </c>
      <c r="K993" s="2" t="s">
        <v>22</v>
      </c>
      <c r="L993" s="2">
        <v>5</v>
      </c>
      <c r="M993" s="2">
        <v>25820</v>
      </c>
      <c r="N993" s="2">
        <v>15</v>
      </c>
      <c r="O993" s="2">
        <v>109735</v>
      </c>
      <c r="P993" s="6">
        <v>20126.72</v>
      </c>
    </row>
    <row r="994" spans="1:16" x14ac:dyDescent="0.3">
      <c r="A994" s="5" t="s">
        <v>1527</v>
      </c>
      <c r="B994" s="2" t="s">
        <v>202</v>
      </c>
      <c r="C994" s="2" t="str">
        <f t="shared" si="15"/>
        <v>May</v>
      </c>
      <c r="D994" s="2" t="s">
        <v>4</v>
      </c>
      <c r="E994" s="2" t="s">
        <v>62</v>
      </c>
      <c r="F994" s="2" t="s">
        <v>63</v>
      </c>
      <c r="G994" s="2" t="s">
        <v>10</v>
      </c>
      <c r="H994" s="2" t="s">
        <v>54</v>
      </c>
      <c r="I994" s="2" t="s">
        <v>54</v>
      </c>
      <c r="J994" s="2" t="s">
        <v>13</v>
      </c>
      <c r="K994" s="2" t="s">
        <v>22</v>
      </c>
      <c r="L994" s="2">
        <v>3</v>
      </c>
      <c r="M994" s="2">
        <v>34429</v>
      </c>
      <c r="N994" s="2">
        <v>5</v>
      </c>
      <c r="O994" s="2">
        <v>98122.65</v>
      </c>
      <c r="P994" s="6">
        <v>11634.33</v>
      </c>
    </row>
    <row r="995" spans="1:16" x14ac:dyDescent="0.3">
      <c r="A995" s="5" t="s">
        <v>1528</v>
      </c>
      <c r="B995" s="2" t="s">
        <v>1529</v>
      </c>
      <c r="C995" s="2" t="str">
        <f t="shared" si="15"/>
        <v>August</v>
      </c>
      <c r="D995" s="2" t="s">
        <v>2</v>
      </c>
      <c r="E995" s="2" t="s">
        <v>103</v>
      </c>
      <c r="F995" s="2" t="s">
        <v>104</v>
      </c>
      <c r="G995" s="2" t="s">
        <v>9</v>
      </c>
      <c r="H995" s="2" t="s">
        <v>90</v>
      </c>
      <c r="I995" s="2" t="s">
        <v>90</v>
      </c>
      <c r="J995" s="2" t="s">
        <v>17</v>
      </c>
      <c r="K995" s="2" t="s">
        <v>22</v>
      </c>
      <c r="L995" s="2">
        <v>4</v>
      </c>
      <c r="M995" s="2">
        <v>4113</v>
      </c>
      <c r="N995" s="2">
        <v>0</v>
      </c>
      <c r="O995" s="2">
        <v>16452</v>
      </c>
      <c r="P995" s="6">
        <v>1445.95</v>
      </c>
    </row>
    <row r="996" spans="1:16" x14ac:dyDescent="0.3">
      <c r="A996" s="5" t="s">
        <v>1530</v>
      </c>
      <c r="B996" s="2" t="s">
        <v>837</v>
      </c>
      <c r="C996" s="2" t="str">
        <f t="shared" si="15"/>
        <v>May</v>
      </c>
      <c r="D996" s="2" t="s">
        <v>3</v>
      </c>
      <c r="E996" s="2" t="s">
        <v>117</v>
      </c>
      <c r="F996" s="2" t="s">
        <v>117</v>
      </c>
      <c r="G996" s="2" t="s">
        <v>9</v>
      </c>
      <c r="H996" s="2" t="s">
        <v>90</v>
      </c>
      <c r="I996" s="2" t="s">
        <v>90</v>
      </c>
      <c r="J996" s="2" t="s">
        <v>14</v>
      </c>
      <c r="K996" s="2" t="s">
        <v>22</v>
      </c>
      <c r="L996" s="2">
        <v>7</v>
      </c>
      <c r="M996" s="2">
        <v>42928</v>
      </c>
      <c r="N996" s="2">
        <v>15</v>
      </c>
      <c r="O996" s="2">
        <v>255421.6</v>
      </c>
      <c r="P996" s="6">
        <v>56334.559999999998</v>
      </c>
    </row>
    <row r="997" spans="1:16" x14ac:dyDescent="0.3">
      <c r="A997" s="5" t="s">
        <v>1531</v>
      </c>
      <c r="B997" s="2" t="s">
        <v>1429</v>
      </c>
      <c r="C997" s="2" t="str">
        <f t="shared" si="15"/>
        <v>March</v>
      </c>
      <c r="D997" s="2" t="s">
        <v>3</v>
      </c>
      <c r="E997" s="2" t="s">
        <v>117</v>
      </c>
      <c r="F997" s="2" t="s">
        <v>117</v>
      </c>
      <c r="G997" s="2" t="s">
        <v>8</v>
      </c>
      <c r="H997" s="2" t="s">
        <v>133</v>
      </c>
      <c r="I997" s="2" t="s">
        <v>133</v>
      </c>
      <c r="J997" s="2" t="s">
        <v>13</v>
      </c>
      <c r="K997" s="2" t="s">
        <v>22</v>
      </c>
      <c r="L997" s="2">
        <v>6</v>
      </c>
      <c r="M997" s="2">
        <v>5201</v>
      </c>
      <c r="N997" s="2">
        <v>20</v>
      </c>
      <c r="O997" s="2">
        <v>24964.799999999999</v>
      </c>
      <c r="P997" s="6">
        <v>2373.62</v>
      </c>
    </row>
    <row r="998" spans="1:16" x14ac:dyDescent="0.3">
      <c r="A998" s="5" t="s">
        <v>1532</v>
      </c>
      <c r="B998" s="2" t="s">
        <v>165</v>
      </c>
      <c r="C998" s="2" t="str">
        <f t="shared" si="15"/>
        <v>February</v>
      </c>
      <c r="D998" s="2" t="s">
        <v>3</v>
      </c>
      <c r="E998" s="2" t="s">
        <v>75</v>
      </c>
      <c r="F998" s="2" t="s">
        <v>75</v>
      </c>
      <c r="G998" s="2" t="s">
        <v>10</v>
      </c>
      <c r="H998" s="2" t="s">
        <v>100</v>
      </c>
      <c r="I998" s="2" t="s">
        <v>100</v>
      </c>
      <c r="J998" s="2" t="s">
        <v>13</v>
      </c>
      <c r="K998" s="2" t="s">
        <v>22</v>
      </c>
      <c r="L998" s="2">
        <v>10</v>
      </c>
      <c r="M998" s="2">
        <v>4272</v>
      </c>
      <c r="N998" s="2">
        <v>15</v>
      </c>
      <c r="O998" s="2">
        <v>36312</v>
      </c>
      <c r="P998" s="6">
        <v>10015.83</v>
      </c>
    </row>
    <row r="999" spans="1:16" x14ac:dyDescent="0.3">
      <c r="A999" s="5" t="s">
        <v>1533</v>
      </c>
      <c r="B999" s="2" t="s">
        <v>792</v>
      </c>
      <c r="C999" s="2" t="str">
        <f t="shared" si="15"/>
        <v>June</v>
      </c>
      <c r="D999" s="2" t="s">
        <v>5</v>
      </c>
      <c r="E999" s="2" t="s">
        <v>52</v>
      </c>
      <c r="F999" s="2" t="s">
        <v>53</v>
      </c>
      <c r="G999" s="2" t="s">
        <v>10</v>
      </c>
      <c r="H999" s="2" t="s">
        <v>69</v>
      </c>
      <c r="I999" s="2" t="s">
        <v>69</v>
      </c>
      <c r="J999" s="2" t="s">
        <v>17</v>
      </c>
      <c r="K999" s="2" t="s">
        <v>21</v>
      </c>
      <c r="L999" s="2">
        <v>9</v>
      </c>
      <c r="M999" s="2">
        <v>31916</v>
      </c>
      <c r="N999" s="2">
        <v>10</v>
      </c>
      <c r="O999" s="2">
        <v>258519.6</v>
      </c>
      <c r="P999" s="6">
        <v>66821.289999999994</v>
      </c>
    </row>
    <row r="1000" spans="1:16" x14ac:dyDescent="0.3">
      <c r="A1000" s="5" t="s">
        <v>1534</v>
      </c>
      <c r="B1000" s="2" t="s">
        <v>542</v>
      </c>
      <c r="C1000" s="2" t="str">
        <f t="shared" si="15"/>
        <v>January</v>
      </c>
      <c r="D1000" s="2" t="s">
        <v>2</v>
      </c>
      <c r="E1000" s="2" t="s">
        <v>103</v>
      </c>
      <c r="F1000" s="2" t="s">
        <v>104</v>
      </c>
      <c r="G1000" s="2" t="s">
        <v>10</v>
      </c>
      <c r="H1000" s="2" t="s">
        <v>100</v>
      </c>
      <c r="I1000" s="2" t="s">
        <v>100</v>
      </c>
      <c r="J1000" s="2" t="s">
        <v>15</v>
      </c>
      <c r="K1000" s="2" t="s">
        <v>22</v>
      </c>
      <c r="L1000" s="2">
        <v>4</v>
      </c>
      <c r="M1000" s="2">
        <v>10277</v>
      </c>
      <c r="N1000" s="2">
        <v>20</v>
      </c>
      <c r="O1000" s="2">
        <v>32886.400000000001</v>
      </c>
      <c r="P1000" s="6">
        <v>8366.16</v>
      </c>
    </row>
    <row r="1001" spans="1:16" x14ac:dyDescent="0.3">
      <c r="A1001" s="10" t="s">
        <v>1535</v>
      </c>
      <c r="B1001" s="11" t="s">
        <v>641</v>
      </c>
      <c r="C1001" s="11" t="str">
        <f t="shared" si="15"/>
        <v>March</v>
      </c>
      <c r="D1001" s="11" t="s">
        <v>5</v>
      </c>
      <c r="E1001" s="11" t="s">
        <v>57</v>
      </c>
      <c r="F1001" s="11" t="s">
        <v>58</v>
      </c>
      <c r="G1001" s="11" t="s">
        <v>10</v>
      </c>
      <c r="H1001" s="11" t="s">
        <v>83</v>
      </c>
      <c r="I1001" s="11" t="s">
        <v>83</v>
      </c>
      <c r="J1001" s="11" t="s">
        <v>16</v>
      </c>
      <c r="K1001" s="11" t="s">
        <v>22</v>
      </c>
      <c r="L1001" s="11">
        <v>10</v>
      </c>
      <c r="M1001" s="11">
        <v>3194</v>
      </c>
      <c r="N1001" s="11">
        <v>20</v>
      </c>
      <c r="O1001" s="11">
        <v>25552</v>
      </c>
      <c r="P1001" s="12">
        <v>6487.23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FBF6-38DC-43D2-87A0-77615CF61BFE}">
  <dimension ref="H1:H3"/>
  <sheetViews>
    <sheetView showGridLines="0" tabSelected="1" workbookViewId="0">
      <selection activeCell="S27" sqref="S27"/>
    </sheetView>
  </sheetViews>
  <sheetFormatPr defaultRowHeight="14.4" x14ac:dyDescent="0.3"/>
  <cols>
    <col min="7" max="7" width="8.88671875" customWidth="1"/>
    <col min="8" max="8" width="21.5546875" customWidth="1"/>
  </cols>
  <sheetData>
    <row r="1" spans="8:8" s="14" customFormat="1" ht="25.8" x14ac:dyDescent="0.5">
      <c r="H1" s="15" t="s">
        <v>1536</v>
      </c>
    </row>
    <row r="2" spans="8:8" s="14" customFormat="1" x14ac:dyDescent="0.3"/>
    <row r="3" spans="8:8" s="14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vs Region</vt:lpstr>
      <vt:lpstr>Sales vs Category</vt:lpstr>
      <vt:lpstr>Customer contributes</vt:lpstr>
      <vt:lpstr>Retail vs Corporate</vt:lpstr>
      <vt:lpstr>HIGHEST MONTH SALES</vt:lpstr>
      <vt:lpstr>PROFITABLE BUSINESS</vt:lpstr>
      <vt:lpstr>SalesData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vignesh T</cp:lastModifiedBy>
  <cp:revision/>
  <dcterms:created xsi:type="dcterms:W3CDTF">2026-07-26T12:49:43Z</dcterms:created>
  <dcterms:modified xsi:type="dcterms:W3CDTF">2026-07-27T17:05:46Z</dcterms:modified>
  <cp:category/>
  <cp:contentStatus/>
</cp:coreProperties>
</file>